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Ontwikkelkosten" sheetId="2" state="visible" r:id="rId2"/>
    <sheet name="Pricing Calculator" sheetId="3" state="visible" r:id="rId3"/>
    <sheet name="ROI Analysis" sheetId="4" state="visible" r:id="rId4"/>
    <sheet name="Concurrentie" sheetId="5" state="visible" r:id="rId5"/>
    <sheet name="Roadmap" sheetId="6" state="visible" r:id="rId6"/>
    <sheet name="Onderhoud &amp; Support" sheetId="7" state="visible" r:id="rId7"/>
    <sheet name="Licentie Modelle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€#,##0.00"/>
    <numFmt numFmtId="165" formatCode="€#,##0"/>
    <numFmt numFmtId="166" formatCode="0.0"/>
  </numFmts>
  <fonts count="19">
    <font>
      <name val="Calibri"/>
      <family val="2"/>
      <color theme="1"/>
      <sz val="11"/>
      <scheme val="minor"/>
    </font>
    <font>
      <name val="Calibri"/>
      <b val="1"/>
      <color rgb="001E3A8A"/>
      <sz val="20"/>
    </font>
    <font>
      <name val="Calibri"/>
      <b val="1"/>
      <color rgb="00F97316"/>
      <sz val="16"/>
    </font>
    <font>
      <b val="1"/>
    </font>
    <font>
      <name val="Calibri"/>
      <b val="1"/>
      <color rgb="00FFFFFF"/>
      <sz val="14"/>
    </font>
    <font>
      <name val="Calibri"/>
      <sz val="10"/>
    </font>
    <font>
      <name val="Calibri"/>
      <b val="1"/>
      <color rgb="00000000"/>
      <sz val="12"/>
    </font>
    <font>
      <b val="1"/>
      <sz val="11"/>
    </font>
    <font>
      <b val="1"/>
      <color rgb="0010B981"/>
    </font>
    <font>
      <name val="Calibri"/>
      <b val="1"/>
      <color rgb="001E3A8A"/>
      <sz val="16"/>
    </font>
    <font>
      <b val="1"/>
      <color rgb="0010B981"/>
      <sz val="12"/>
    </font>
    <font>
      <b val="1"/>
      <color rgb="00FFFFFF"/>
    </font>
    <font>
      <b val="1"/>
      <color rgb="001E3A8A"/>
      <sz val="12"/>
    </font>
    <font>
      <b val="1"/>
      <color rgb="00FFFFFF"/>
      <sz val="12"/>
    </font>
    <font>
      <color rgb="00EF4444"/>
    </font>
    <font>
      <color rgb="00F59E0B"/>
    </font>
    <font>
      <sz val="10"/>
    </font>
    <font>
      <color rgb="0010B981"/>
    </font>
    <font>
      <b val="1"/>
      <color rgb="00EF4444"/>
    </font>
  </fonts>
  <fills count="9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  <fill>
      <patternFill patternType="solid">
        <fgColor rgb="00F59E0B"/>
        <bgColor rgb="00F59E0B"/>
      </patternFill>
    </fill>
    <fill>
      <patternFill patternType="solid">
        <fgColor rgb="00EF4444"/>
        <bgColor rgb="00EF4444"/>
      </patternFill>
    </fill>
    <fill>
      <patternFill patternType="solid">
        <fgColor rgb="0010B981"/>
        <bgColor rgb="0010B981"/>
      </patternFill>
    </fill>
    <fill>
      <patternFill patternType="solid">
        <fgColor rgb="00FFEB3B"/>
        <bgColor rgb="00FFEB3B"/>
      </patternFill>
    </fill>
    <fill>
      <patternFill patternType="solid">
        <fgColor rgb="00F97316"/>
        <bgColor rgb="00F97316"/>
      </patternFill>
    </fill>
  </fills>
  <borders count="3">
    <border>
      <left/>
      <right/>
      <top/>
      <bottom/>
      <diagonal/>
    </border>
    <border>
      <bottom style="medium">
        <color rgb="00000000"/>
      </bottom>
    </border>
    <border>
      <left/>
      <right/>
      <top/>
      <bottom style="medium">
        <color rgb="00000000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 vertical="center"/>
    </xf>
    <xf numFmtId="0" fontId="0" fillId="0" borderId="2" pivotButton="0" quotePrefix="0" xfId="0"/>
    <xf numFmtId="0" fontId="5" fillId="0" borderId="0" pivotButton="0" quotePrefix="0" xfId="0"/>
    <xf numFmtId="0" fontId="6" fillId="3" borderId="0" applyAlignment="1" pivotButton="0" quotePrefix="0" xfId="0">
      <alignment horizontal="left" vertical="center"/>
    </xf>
    <xf numFmtId="164" fontId="0" fillId="0" borderId="0" pivotButton="0" quotePrefix="0" xfId="0"/>
    <xf numFmtId="0" fontId="7" fillId="0" borderId="0" pivotButton="0" quotePrefix="0" xfId="0"/>
    <xf numFmtId="164" fontId="3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0" fillId="4" borderId="0" pivotButton="0" quotePrefix="0" xfId="0"/>
    <xf numFmtId="165" fontId="0" fillId="0" borderId="0" pivotButton="0" quotePrefix="0" xfId="0"/>
    <xf numFmtId="0" fontId="11" fillId="5" borderId="0" pivotButton="0" quotePrefix="0" xfId="0"/>
    <xf numFmtId="164" fontId="11" fillId="6" borderId="0" pivotButton="0" quotePrefix="0" xfId="0"/>
    <xf numFmtId="0" fontId="12" fillId="0" borderId="0" pivotButton="0" quotePrefix="0" xfId="0"/>
    <xf numFmtId="1" fontId="0" fillId="7" borderId="0" pivotButton="0" quotePrefix="0" xfId="0"/>
    <xf numFmtId="0" fontId="0" fillId="7" borderId="0" pivotButton="0" quotePrefix="0" xfId="0"/>
    <xf numFmtId="164" fontId="11" fillId="5" borderId="0" pivotButton="0" quotePrefix="0" xfId="0"/>
    <xf numFmtId="164" fontId="0" fillId="6" borderId="0" pivotButton="0" quotePrefix="0" xfId="0"/>
    <xf numFmtId="164" fontId="13" fillId="6" borderId="0" pivotButton="0" quotePrefix="0" xfId="0"/>
    <xf numFmtId="9" fontId="13" fillId="6" borderId="0" pivotButton="0" quotePrefix="0" xfId="0"/>
    <xf numFmtId="166" fontId="13" fillId="6" borderId="0" pivotButton="0" quotePrefix="0" xfId="0"/>
    <xf numFmtId="0" fontId="0" fillId="3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8" fillId="3" borderId="0" pivotButton="0" quotePrefix="0" xfId="0"/>
    <xf numFmtId="0" fontId="13" fillId="6" borderId="0" pivotButton="0" quotePrefix="0" xfId="0"/>
    <xf numFmtId="0" fontId="16" fillId="0" borderId="0" pivotButton="0" quotePrefix="0" xfId="0"/>
    <xf numFmtId="0" fontId="11" fillId="6" borderId="0" pivotButton="0" quotePrefix="0" xfId="0"/>
    <xf numFmtId="0" fontId="17" fillId="0" borderId="0" pivotButton="0" quotePrefix="0" xfId="0"/>
    <xf numFmtId="0" fontId="11" fillId="2" borderId="0" pivotButton="0" quotePrefix="0" xfId="0"/>
    <xf numFmtId="164" fontId="11" fillId="2" borderId="0" pivotButton="0" quotePrefix="0" xfId="0"/>
    <xf numFmtId="0" fontId="3" fillId="4" borderId="0" pivotButton="0" quotePrefix="0" xfId="0"/>
    <xf numFmtId="0" fontId="13" fillId="2" borderId="0" pivotButton="0" quotePrefix="0" xfId="0"/>
    <xf numFmtId="0" fontId="18" fillId="0" borderId="0" pivotButton="0" quotePrefix="0" xfId="0"/>
    <xf numFmtId="0" fontId="13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5" customWidth="1" min="4" max="4"/>
    <col width="18" customWidth="1" min="5" max="5"/>
  </cols>
  <sheetData>
    <row r="1">
      <c r="A1" s="1" t="inlineStr">
        <is>
          <t>CH CONSTRUCT TIMESHEET</t>
        </is>
      </c>
    </row>
    <row r="2">
      <c r="A2" s="2" t="inlineStr">
        <is>
          <t>COMMERCIËLE OFFERTE</t>
        </is>
      </c>
    </row>
    <row r="4">
      <c r="A4" s="3" t="inlineStr">
        <is>
          <t>Versie:</t>
        </is>
      </c>
      <c r="B4" t="inlineStr">
        <is>
          <t>1.0</t>
        </is>
      </c>
    </row>
    <row r="5">
      <c r="A5" s="3" t="inlineStr">
        <is>
          <t>Datum:</t>
        </is>
      </c>
      <c r="B5" t="inlineStr">
        <is>
          <t>15 April 2026</t>
        </is>
      </c>
    </row>
    <row r="6">
      <c r="A6" s="3" t="inlineStr">
        <is>
          <t>Sector:</t>
        </is>
      </c>
      <c r="B6" t="inlineStr">
        <is>
          <t>Bouw &amp; Constructie | Technische Dienstverlening</t>
        </is>
      </c>
    </row>
    <row r="7">
      <c r="A7" s="3" t="inlineStr">
        <is>
          <t>Type:</t>
        </is>
      </c>
      <c r="B7" t="inlineStr">
        <is>
          <t>Progressive Web Application (PWA)</t>
        </is>
      </c>
    </row>
    <row r="10">
      <c r="A10" s="4" t="inlineStr">
        <is>
          <t>UNIQUE VALUE PROPOSITIONS</t>
        </is>
      </c>
      <c r="B10" s="5" t="n"/>
      <c r="C10" s="5" t="n"/>
      <c r="D10" s="5" t="n"/>
      <c r="E10" s="5" t="n"/>
      <c r="F10" s="5" t="n"/>
    </row>
    <row r="11">
      <c r="A11" s="6" t="inlineStr">
        <is>
          <t>✅ 100% Offline Functionaliteit - Werkt overal, ook op de bouwplaats</t>
        </is>
      </c>
    </row>
    <row r="12">
      <c r="A12" s="6" t="inlineStr">
        <is>
          <t>✅ Privacy First - Alle data blijft lokaal op het apparaat</t>
        </is>
      </c>
    </row>
    <row r="13">
      <c r="A13" s="6" t="inlineStr">
        <is>
          <t>✅ Bouw-specifiek - Chauffeur status, pauze, locatie per klant</t>
        </is>
      </c>
    </row>
    <row r="14">
      <c r="A14" s="6" t="inlineStr">
        <is>
          <t>✅ Multi-profiel Support - Meerdere werknemers op één apparaat</t>
        </is>
      </c>
    </row>
    <row r="15">
      <c r="A15" s="6" t="inlineStr">
        <is>
          <t>✅ Professionele PDF Export - Direct verstuurklare urenstaten</t>
        </is>
      </c>
    </row>
    <row r="16">
      <c r="A16" s="6" t="inlineStr">
        <is>
          <t>✅ Nederlandse Interface - Volledig Nederlands, intuïtief</t>
        </is>
      </c>
    </row>
    <row r="17">
      <c r="A17" s="6" t="inlineStr">
        <is>
          <t>✅ Geen SaaS verplicht - Keuze tussen modellen</t>
        </is>
      </c>
    </row>
    <row r="20">
      <c r="A20" s="4" t="inlineStr">
        <is>
          <t>KOSTENSAMENVATTING</t>
        </is>
      </c>
      <c r="B20" s="5" t="n"/>
      <c r="C20" s="5" t="n"/>
      <c r="D20" s="5" t="n"/>
      <c r="E20" s="5" t="n"/>
      <c r="F20" s="5" t="n"/>
    </row>
    <row r="21">
      <c r="A21" s="7" t="inlineStr">
        <is>
          <t>Component</t>
        </is>
      </c>
      <c r="B21" s="7" t="inlineStr">
        <is>
          <t>Uren</t>
        </is>
      </c>
      <c r="C21" s="7" t="inlineStr">
        <is>
          <t>Tarief</t>
        </is>
      </c>
      <c r="D21" s="7" t="inlineStr">
        <is>
          <t>Ex BTW</t>
        </is>
      </c>
      <c r="E21" s="7" t="inlineStr">
        <is>
          <t>Inc BTW (21%)</t>
        </is>
      </c>
    </row>
    <row r="22">
      <c r="A22" t="inlineStr">
        <is>
          <t>Basis App Development</t>
        </is>
      </c>
      <c r="B22" t="n">
        <v>85</v>
      </c>
      <c r="C22" t="inlineStr">
        <is>
          <t>€75</t>
        </is>
      </c>
      <c r="D22" s="8">
        <f>B22*C22</f>
        <v/>
      </c>
      <c r="E22" s="8">
        <f>D22*1.21</f>
        <v/>
      </c>
    </row>
    <row r="23">
      <c r="A23" t="inlineStr">
        <is>
          <t>Project Management</t>
        </is>
      </c>
      <c r="B23" t="n">
        <v>10</v>
      </c>
      <c r="C23" t="inlineStr">
        <is>
          <t>€75</t>
        </is>
      </c>
      <c r="D23" s="8">
        <f>B23*C23</f>
        <v/>
      </c>
      <c r="E23" s="8">
        <f>D23*1.21</f>
        <v/>
      </c>
    </row>
    <row r="24">
      <c r="A24" t="inlineStr">
        <is>
          <t>QA &amp; Testing</t>
        </is>
      </c>
      <c r="B24" t="n">
        <v>8</v>
      </c>
      <c r="C24" t="inlineStr">
        <is>
          <t>€65</t>
        </is>
      </c>
      <c r="D24" s="8">
        <f>B24*C24</f>
        <v/>
      </c>
      <c r="E24" s="8">
        <f>D24*1.21</f>
        <v/>
      </c>
    </row>
    <row r="25">
      <c r="A25" t="inlineStr">
        <is>
          <t>Performance Optimalisatie</t>
        </is>
      </c>
      <c r="B25" t="n">
        <v>6</v>
      </c>
      <c r="C25" t="inlineStr">
        <is>
          <t>€85</t>
        </is>
      </c>
      <c r="D25" s="8">
        <f>B25*C25</f>
        <v/>
      </c>
      <c r="E25" s="8">
        <f>D25*1.21</f>
        <v/>
      </c>
    </row>
    <row r="26">
      <c r="A26" t="inlineStr">
        <is>
          <t>Documentatie</t>
        </is>
      </c>
      <c r="B26" t="n">
        <v>4</v>
      </c>
      <c r="C26" t="inlineStr">
        <is>
          <t>€65</t>
        </is>
      </c>
      <c r="D26" s="8">
        <f>B26*C26</f>
        <v/>
      </c>
      <c r="E26" s="8">
        <f>D26*1.21</f>
        <v/>
      </c>
    </row>
    <row r="27">
      <c r="A27" s="9" t="inlineStr">
        <is>
          <t>TOTAAL BASIS APP</t>
        </is>
      </c>
      <c r="D27" s="10">
        <f>SUM(D22:D26)</f>
        <v/>
      </c>
      <c r="E27" s="10">
        <f>SUM(E22:E26)</f>
        <v/>
      </c>
    </row>
    <row r="30">
      <c r="A30" s="4" t="inlineStr">
        <is>
          <t>POTENTIËLE UITBREIDINGEN (Optioneel)</t>
        </is>
      </c>
      <c r="B30" s="5" t="n"/>
      <c r="C30" s="5" t="n"/>
      <c r="D30" s="5" t="n"/>
      <c r="E30" s="5" t="n"/>
    </row>
    <row r="31">
      <c r="A31" t="inlineStr">
        <is>
          <t>Backend/API Integratie</t>
        </is>
      </c>
      <c r="B31" t="n">
        <v>100</v>
      </c>
      <c r="D31" s="8" t="n">
        <v>7500</v>
      </c>
      <c r="E31" s="8">
        <f>D31*1.21</f>
        <v/>
      </c>
    </row>
    <row r="32">
      <c r="A32" t="inlineStr">
        <is>
          <t>Multi-user/Team Features</t>
        </is>
      </c>
      <c r="B32" t="n">
        <v>80</v>
      </c>
      <c r="D32" s="8" t="n">
        <v>6000</v>
      </c>
      <c r="E32" s="8">
        <f>D32*1.21</f>
        <v/>
      </c>
    </row>
    <row r="33">
      <c r="A33" t="inlineStr">
        <is>
          <t>iOS Native App</t>
        </is>
      </c>
      <c r="B33" t="n">
        <v>140</v>
      </c>
      <c r="D33" s="8" t="n">
        <v>10500</v>
      </c>
      <c r="E33" s="8">
        <f>D33*1.21</f>
        <v/>
      </c>
    </row>
    <row r="34">
      <c r="A34" t="inlineStr">
        <is>
          <t>Android Native App</t>
        </is>
      </c>
      <c r="B34" t="n">
        <v>120</v>
      </c>
      <c r="D34" s="8" t="n">
        <v>9000</v>
      </c>
      <c r="E34" s="8">
        <f>D34*1.21</f>
        <v/>
      </c>
    </row>
    <row r="35">
      <c r="A35" t="inlineStr">
        <is>
          <t>HR/Salaris Integraties</t>
        </is>
      </c>
      <c r="B35" t="n">
        <v>60</v>
      </c>
      <c r="D35" s="8" t="n">
        <v>4500</v>
      </c>
      <c r="E35" s="8">
        <f>D35*1.21</f>
        <v/>
      </c>
    </row>
    <row r="36">
      <c r="A36" t="inlineStr">
        <is>
          <t>Advanced Reporting</t>
        </is>
      </c>
      <c r="B36" t="n">
        <v>80</v>
      </c>
      <c r="D36" s="8" t="n">
        <v>6000</v>
      </c>
      <c r="E36" s="8">
        <f>D36*1.21</f>
        <v/>
      </c>
    </row>
    <row r="37">
      <c r="A37" t="inlineStr">
        <is>
          <t>White-label Branding</t>
        </is>
      </c>
      <c r="B37" t="n">
        <v>50</v>
      </c>
      <c r="D37" s="8" t="n">
        <v>3750</v>
      </c>
      <c r="E37" s="8">
        <f>D37*1.21</f>
        <v/>
      </c>
    </row>
    <row r="40">
      <c r="A40" s="4" t="inlineStr">
        <is>
          <t>AANBEVOLEN PAKKET</t>
        </is>
      </c>
      <c r="B40" s="5" t="n"/>
      <c r="C40" s="5" t="n"/>
      <c r="D40" s="5" t="n"/>
      <c r="E40" s="5" t="n"/>
      <c r="F40" s="5" t="n"/>
    </row>
    <row r="41">
      <c r="A41" s="9" t="inlineStr">
        <is>
          <t>Voor Bouw &amp; Technische Dienstverlening (10-50 werknemers):</t>
        </is>
      </c>
    </row>
    <row r="42">
      <c r="A42" t="inlineStr">
        <is>
          <t>Hybrid Model: €4,500 setup + €6/gebruiker/maand</t>
        </is>
      </c>
    </row>
    <row r="43">
      <c r="A43" t="inlineStr">
        <is>
          <t>Inclusief: Training, support, updates, backups</t>
        </is>
      </c>
    </row>
    <row r="44">
      <c r="A44" s="11" t="inlineStr">
        <is>
          <t>3-jaar TCO (20 gebruikers): €13,860</t>
        </is>
      </c>
    </row>
    <row r="45">
      <c r="A45" s="11" t="inlineStr">
        <is>
          <t>ROI: 10-12 maanden</t>
        </is>
      </c>
    </row>
  </sheetData>
  <mergeCells count="18">
    <mergeCell ref="A30:E30"/>
    <mergeCell ref="A2:F2"/>
    <mergeCell ref="A11:F11"/>
    <mergeCell ref="A16:F16"/>
    <mergeCell ref="A10:F10"/>
    <mergeCell ref="A41:F41"/>
    <mergeCell ref="A42:F42"/>
    <mergeCell ref="A13:F13"/>
    <mergeCell ref="A14:F14"/>
    <mergeCell ref="A44:F44"/>
    <mergeCell ref="A1:F1"/>
    <mergeCell ref="A45:F45"/>
    <mergeCell ref="A17:F17"/>
    <mergeCell ref="A12:F12"/>
    <mergeCell ref="A40:F40"/>
    <mergeCell ref="A20:F20"/>
    <mergeCell ref="A15:F15"/>
    <mergeCell ref="A43:F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2" customWidth="1" min="3" max="3"/>
    <col width="12" customWidth="1" min="4" max="4"/>
    <col width="12" customWidth="1" min="5" max="5"/>
    <col width="18" customWidth="1" min="6" max="6"/>
    <col width="20" customWidth="1" min="7" max="7"/>
  </cols>
  <sheetData>
    <row r="1">
      <c r="A1" s="12" t="inlineStr">
        <is>
          <t>ONTWIKKELKOSTEN BREAKDOWN</t>
        </is>
      </c>
    </row>
    <row r="3">
      <c r="A3" s="4" t="inlineStr">
        <is>
          <t>Module/Feature</t>
        </is>
      </c>
      <c r="B3" s="4" t="inlineStr">
        <is>
          <t>Complexiteit</t>
        </is>
      </c>
      <c r="C3" s="4" t="inlineStr">
        <is>
          <t>Uren (Low)</t>
        </is>
      </c>
      <c r="D3" s="4" t="inlineStr">
        <is>
          <t>Uren (High)</t>
        </is>
      </c>
      <c r="E3" s="4" t="inlineStr">
        <is>
          <t>Tarief €/u</t>
        </is>
      </c>
      <c r="F3" s="4" t="inlineStr">
        <is>
          <t>Kosten (ex BTW)</t>
        </is>
      </c>
      <c r="G3" s="4" t="inlineStr">
        <is>
          <t>Kosten (inc BTW)</t>
        </is>
      </c>
    </row>
    <row r="4">
      <c r="A4" s="13" t="inlineStr">
        <is>
          <t>FASE 1: CORE APP (VOLTOOID ✅)</t>
        </is>
      </c>
    </row>
    <row r="5">
      <c r="A5" t="inlineStr">
        <is>
          <t>Database Setup (Dexie/IndexedDB)</t>
        </is>
      </c>
      <c r="B5" s="14" t="inlineStr">
        <is>
          <t>Medium</t>
        </is>
      </c>
      <c r="C5" t="n">
        <v>4</v>
      </c>
      <c r="D5" t="n">
        <v>6</v>
      </c>
      <c r="E5" s="15" t="n">
        <v>75</v>
      </c>
      <c r="F5" s="8">
        <f>ROUND(((C5+D5)/2)*E5, 0)</f>
        <v/>
      </c>
      <c r="G5" s="8">
        <f>F5*1.21</f>
        <v/>
      </c>
    </row>
    <row r="6">
      <c r="A6" t="inlineStr">
        <is>
          <t>Time Entry CRUD Operations</t>
        </is>
      </c>
      <c r="B6" s="14" t="inlineStr">
        <is>
          <t>Medium</t>
        </is>
      </c>
      <c r="C6" t="n">
        <v>6</v>
      </c>
      <c r="D6" t="n">
        <v>10</v>
      </c>
      <c r="E6" s="15" t="n">
        <v>75</v>
      </c>
      <c r="F6" s="8">
        <f>ROUND(((C6+D6)/2)*E6, 0)</f>
        <v/>
      </c>
      <c r="G6" s="8">
        <f>F6*1.21</f>
        <v/>
      </c>
    </row>
    <row r="7">
      <c r="A7" t="inlineStr">
        <is>
          <t>Multi-profiel Systeem</t>
        </is>
      </c>
      <c r="B7" s="14" t="inlineStr">
        <is>
          <t>Medium</t>
        </is>
      </c>
      <c r="C7" t="n">
        <v>5</v>
      </c>
      <c r="D7" t="n">
        <v>8</v>
      </c>
      <c r="E7" s="15" t="n">
        <v>75</v>
      </c>
      <c r="F7" s="8">
        <f>ROUND(((C7+D7)/2)*E7, 0)</f>
        <v/>
      </c>
      <c r="G7" s="8">
        <f>F7*1.21</f>
        <v/>
      </c>
    </row>
    <row r="8">
      <c r="A8" t="inlineStr">
        <is>
          <t>Client &amp; Location Management</t>
        </is>
      </c>
      <c r="B8" t="inlineStr">
        <is>
          <t>Laag</t>
        </is>
      </c>
      <c r="C8" t="n">
        <v>3</v>
      </c>
      <c r="D8" t="n">
        <v>5</v>
      </c>
      <c r="E8" s="15" t="n">
        <v>65</v>
      </c>
      <c r="F8" s="8">
        <f>ROUND(((C8+D8)/2)*E8, 0)</f>
        <v/>
      </c>
      <c r="G8" s="8">
        <f>F8*1.21</f>
        <v/>
      </c>
    </row>
    <row r="9">
      <c r="A9" t="inlineStr">
        <is>
          <t>Week Overzicht &amp; Navigatie</t>
        </is>
      </c>
      <c r="B9" s="14" t="inlineStr">
        <is>
          <t>Medium</t>
        </is>
      </c>
      <c r="C9" t="n">
        <v>5</v>
      </c>
      <c r="D9" t="n">
        <v>8</v>
      </c>
      <c r="E9" s="15" t="n">
        <v>75</v>
      </c>
      <c r="F9" s="8">
        <f>ROUND(((C9+D9)/2)*E9, 0)</f>
        <v/>
      </c>
      <c r="G9" s="8">
        <f>F9*1.21</f>
        <v/>
      </c>
    </row>
    <row r="10">
      <c r="A10" t="inlineStr">
        <is>
          <t>PDF Export Functionaliteit</t>
        </is>
      </c>
      <c r="B10" s="16" t="inlineStr">
        <is>
          <t>Hoog</t>
        </is>
      </c>
      <c r="C10" t="n">
        <v>8</v>
      </c>
      <c r="D10" t="n">
        <v>12</v>
      </c>
      <c r="E10" s="15" t="n">
        <v>85</v>
      </c>
      <c r="F10" s="8">
        <f>ROUND(((C10+D10)/2)*E10, 0)</f>
        <v/>
      </c>
      <c r="G10" s="8">
        <f>F10*1.21</f>
        <v/>
      </c>
    </row>
    <row r="11">
      <c r="A11" t="inlineStr">
        <is>
          <t>Logo Management &amp; Resizing</t>
        </is>
      </c>
      <c r="B11" s="14" t="inlineStr">
        <is>
          <t>Medium</t>
        </is>
      </c>
      <c r="C11" t="n">
        <v>3</v>
      </c>
      <c r="D11" t="n">
        <v>5</v>
      </c>
      <c r="E11" s="15" t="n">
        <v>75</v>
      </c>
      <c r="F11" s="8">
        <f>ROUND(((C11+D11)/2)*E11, 0)</f>
        <v/>
      </c>
      <c r="G11" s="8">
        <f>F11*1.21</f>
        <v/>
      </c>
    </row>
    <row r="12">
      <c r="A12" t="inlineStr">
        <is>
          <t>Data Import/Export/Backup</t>
        </is>
      </c>
      <c r="B12" s="14" t="inlineStr">
        <is>
          <t>Medium</t>
        </is>
      </c>
      <c r="C12" t="n">
        <v>5</v>
      </c>
      <c r="D12" t="n">
        <v>8</v>
      </c>
      <c r="E12" s="15" t="n">
        <v>75</v>
      </c>
      <c r="F12" s="8">
        <f>ROUND(((C12+D12)/2)*E12, 0)</f>
        <v/>
      </c>
      <c r="G12" s="8">
        <f>F12*1.21</f>
        <v/>
      </c>
    </row>
    <row r="13">
      <c r="A13" t="inlineStr">
        <is>
          <t>Notification Systeem</t>
        </is>
      </c>
      <c r="B13" s="14" t="inlineStr">
        <is>
          <t>Medium</t>
        </is>
      </c>
      <c r="C13" t="n">
        <v>4</v>
      </c>
      <c r="D13" t="n">
        <v>6</v>
      </c>
      <c r="E13" s="15" t="n">
        <v>75</v>
      </c>
      <c r="F13" s="8">
        <f>ROUND(((C13+D13)/2)*E13, 0)</f>
        <v/>
      </c>
      <c r="G13" s="8">
        <f>F13*1.21</f>
        <v/>
      </c>
    </row>
    <row r="14">
      <c r="A14" t="inlineStr">
        <is>
          <t>Service Worker (PWA)</t>
        </is>
      </c>
      <c r="B14" s="14" t="inlineStr">
        <is>
          <t>Medium</t>
        </is>
      </c>
      <c r="C14" t="n">
        <v>3</v>
      </c>
      <c r="D14" t="n">
        <v>5</v>
      </c>
      <c r="E14" s="15" t="n">
        <v>75</v>
      </c>
      <c r="F14" s="8">
        <f>ROUND(((C14+D14)/2)*E14, 0)</f>
        <v/>
      </c>
      <c r="G14" s="8">
        <f>F14*1.21</f>
        <v/>
      </c>
    </row>
    <row r="15">
      <c r="A15" t="inlineStr">
        <is>
          <t>Swipe Gestures</t>
        </is>
      </c>
      <c r="B15" t="inlineStr">
        <is>
          <t>Laag</t>
        </is>
      </c>
      <c r="C15" t="n">
        <v>2</v>
      </c>
      <c r="D15" t="n">
        <v>3</v>
      </c>
      <c r="E15" s="15" t="n">
        <v>65</v>
      </c>
      <c r="F15" s="8">
        <f>ROUND(((C15+D15)/2)*E15, 0)</f>
        <v/>
      </c>
      <c r="G15" s="8">
        <f>F15*1.21</f>
        <v/>
      </c>
    </row>
    <row r="16">
      <c r="A16" t="inlineStr">
        <is>
          <t>Migration Systeem</t>
        </is>
      </c>
      <c r="B16" t="inlineStr">
        <is>
          <t>Laag</t>
        </is>
      </c>
      <c r="C16" t="n">
        <v>2</v>
      </c>
      <c r="D16" t="n">
        <v>4</v>
      </c>
      <c r="E16" s="15" t="n">
        <v>65</v>
      </c>
      <c r="F16" s="8">
        <f>ROUND(((C16+D16)/2)*E16, 0)</f>
        <v/>
      </c>
      <c r="G16" s="8">
        <f>F16*1.21</f>
        <v/>
      </c>
    </row>
    <row r="17">
      <c r="A17" t="inlineStr">
        <is>
          <t>UI/UX Design &amp; Styling</t>
        </is>
      </c>
      <c r="B17" s="14" t="inlineStr">
        <is>
          <t>Medium</t>
        </is>
      </c>
      <c r="C17" t="n">
        <v>6</v>
      </c>
      <c r="D17" t="n">
        <v>10</v>
      </c>
      <c r="E17" s="15" t="n">
        <v>75</v>
      </c>
      <c r="F17" s="8">
        <f>ROUND(((C17+D17)/2)*E17, 0)</f>
        <v/>
      </c>
      <c r="G17" s="8">
        <f>F17*1.21</f>
        <v/>
      </c>
    </row>
    <row r="18">
      <c r="A18" t="inlineStr">
        <is>
          <t>Testing &amp; Debugging</t>
        </is>
      </c>
      <c r="B18" t="inlineStr">
        <is>
          <t>Standaard</t>
        </is>
      </c>
      <c r="C18" t="n">
        <v>4</v>
      </c>
      <c r="D18" t="n">
        <v>8</v>
      </c>
      <c r="E18" s="15" t="n">
        <v>65</v>
      </c>
      <c r="F18" s="8">
        <f>ROUND(((C18+D18)/2)*E18, 0)</f>
        <v/>
      </c>
      <c r="G18" s="8">
        <f>F18*1.21</f>
        <v/>
      </c>
    </row>
    <row r="19">
      <c r="A19" t="inlineStr">
        <is>
          <t>Performance Optimalisatie</t>
        </is>
      </c>
      <c r="B19" s="14" t="inlineStr">
        <is>
          <t>Medium</t>
        </is>
      </c>
      <c r="C19" t="n">
        <v>4</v>
      </c>
      <c r="D19" t="n">
        <v>6</v>
      </c>
      <c r="E19" s="15" t="n">
        <v>85</v>
      </c>
      <c r="F19" s="8">
        <f>ROUND(((C19+D19)/2)*E19, 0)</f>
        <v/>
      </c>
      <c r="G19" s="8">
        <f>F19*1.21</f>
        <v/>
      </c>
    </row>
    <row r="20">
      <c r="A20" t="inlineStr">
        <is>
          <t>Code Review &amp; Refactoring</t>
        </is>
      </c>
      <c r="B20" t="inlineStr">
        <is>
          <t>Standaard</t>
        </is>
      </c>
      <c r="C20" t="n">
        <v>2</v>
      </c>
      <c r="D20" t="n">
        <v>4</v>
      </c>
      <c r="E20" s="15" t="n">
        <v>75</v>
      </c>
      <c r="F20" s="8">
        <f>ROUND(((C20+D20)/2)*E20, 0)</f>
        <v/>
      </c>
      <c r="G20" s="8">
        <f>F20*1.21</f>
        <v/>
      </c>
    </row>
    <row r="21">
      <c r="A21" t="inlineStr">
        <is>
          <t>Documentatie</t>
        </is>
      </c>
      <c r="B21" t="inlineStr">
        <is>
          <t>Standaard</t>
        </is>
      </c>
      <c r="C21" t="n">
        <v>3</v>
      </c>
      <c r="D21" t="n">
        <v>5</v>
      </c>
      <c r="E21" s="15" t="n">
        <v>65</v>
      </c>
      <c r="F21" s="8">
        <f>ROUND(((C21+D21)/2)*E21, 0)</f>
        <v/>
      </c>
      <c r="G21" s="8">
        <f>F21*1.21</f>
        <v/>
      </c>
    </row>
    <row r="22">
      <c r="A22" t="inlineStr">
        <is>
          <t>Project Management</t>
        </is>
      </c>
      <c r="B22" t="inlineStr">
        <is>
          <t>Standaard</t>
        </is>
      </c>
      <c r="C22" t="n">
        <v>8</v>
      </c>
      <c r="D22" t="n">
        <v>12</v>
      </c>
      <c r="E22" s="15" t="n">
        <v>75</v>
      </c>
      <c r="F22" s="8">
        <f>ROUND(((C22+D22)/2)*E22, 0)</f>
        <v/>
      </c>
      <c r="G22" s="8">
        <f>F22*1.21</f>
        <v/>
      </c>
    </row>
    <row r="23">
      <c r="A23" s="9" t="inlineStr">
        <is>
          <t>SUBTOTAAL FASE 1</t>
        </is>
      </c>
      <c r="C23" s="3">
        <f>SUM(C5:C22)</f>
        <v/>
      </c>
      <c r="D23" s="3">
        <f>SUM(D5:D22)</f>
        <v/>
      </c>
      <c r="F23" s="17">
        <f>SUM(F5:F22)</f>
        <v/>
      </c>
      <c r="G23" s="17">
        <f>SUM(G5:G22)</f>
        <v/>
      </c>
    </row>
    <row r="26">
      <c r="A26" s="18" t="inlineStr">
        <is>
          <t>FASE 2: BACKEND &amp; MULTI-USER (Optioneel)</t>
        </is>
      </c>
    </row>
    <row r="27">
      <c r="A27" t="inlineStr">
        <is>
          <t>REST API Setup (Node.js/Firebase)</t>
        </is>
      </c>
      <c r="B27" s="16" t="inlineStr">
        <is>
          <t>Hoog</t>
        </is>
      </c>
      <c r="C27" t="n">
        <v>20</v>
      </c>
      <c r="D27" t="n">
        <v>30</v>
      </c>
      <c r="E27" s="15" t="n">
        <v>85</v>
      </c>
      <c r="F27" s="8">
        <f>ROUND(((C27+D27)/2)*E27, 0)</f>
        <v/>
      </c>
      <c r="G27" s="8">
        <f>F27*1.21</f>
        <v/>
      </c>
    </row>
    <row r="28">
      <c r="A28" t="inlineStr">
        <is>
          <t>Authentication &amp; Authorization</t>
        </is>
      </c>
      <c r="B28" s="16" t="inlineStr">
        <is>
          <t>Hoog</t>
        </is>
      </c>
      <c r="C28" t="n">
        <v>15</v>
      </c>
      <c r="D28" t="n">
        <v>20</v>
      </c>
      <c r="E28" s="15" t="n">
        <v>85</v>
      </c>
      <c r="F28" s="8">
        <f>ROUND(((C28+D28)/2)*E28, 0)</f>
        <v/>
      </c>
      <c r="G28" s="8">
        <f>F28*1.21</f>
        <v/>
      </c>
    </row>
    <row r="29">
      <c r="A29" t="inlineStr">
        <is>
          <t>Data Sync Protocollen</t>
        </is>
      </c>
      <c r="B29" s="16" t="inlineStr">
        <is>
          <t>Hoog</t>
        </is>
      </c>
      <c r="C29" t="n">
        <v>15</v>
      </c>
      <c r="D29" t="n">
        <v>25</v>
      </c>
      <c r="E29" s="15" t="n">
        <v>85</v>
      </c>
      <c r="F29" s="8">
        <f>ROUND(((C29+D29)/2)*E29, 0)</f>
        <v/>
      </c>
      <c r="G29" s="8">
        <f>F29*1.21</f>
        <v/>
      </c>
    </row>
    <row r="30">
      <c r="A30" t="inlineStr">
        <is>
          <t>Real-time Updates</t>
        </is>
      </c>
      <c r="B30" s="16" t="inlineStr">
        <is>
          <t>Hoog</t>
        </is>
      </c>
      <c r="C30" t="n">
        <v>10</v>
      </c>
      <c r="D30" t="n">
        <v>15</v>
      </c>
      <c r="E30" s="15" t="n">
        <v>85</v>
      </c>
      <c r="F30" s="8">
        <f>ROUND(((C30+D30)/2)*E30, 0)</f>
        <v/>
      </c>
      <c r="G30" s="8">
        <f>F30*1.21</f>
        <v/>
      </c>
    </row>
    <row r="31">
      <c r="A31" t="inlineStr">
        <is>
          <t>Team Dashboard</t>
        </is>
      </c>
      <c r="B31" s="14" t="inlineStr">
        <is>
          <t>Medium</t>
        </is>
      </c>
      <c r="C31" t="n">
        <v>10</v>
      </c>
      <c r="D31" t="n">
        <v>15</v>
      </c>
      <c r="E31" s="15" t="n">
        <v>75</v>
      </c>
      <c r="F31" s="8">
        <f>ROUND(((C31+D31)/2)*E31, 0)</f>
        <v/>
      </c>
      <c r="G31" s="8">
        <f>F31*1.21</f>
        <v/>
      </c>
    </row>
    <row r="32">
      <c r="A32" t="inlineStr">
        <is>
          <t>Manager Goedkeuringen</t>
        </is>
      </c>
      <c r="B32" s="14" t="inlineStr">
        <is>
          <t>Medium</t>
        </is>
      </c>
      <c r="C32" t="n">
        <v>8</v>
      </c>
      <c r="D32" t="n">
        <v>12</v>
      </c>
      <c r="E32" s="15" t="n">
        <v>75</v>
      </c>
      <c r="F32" s="8">
        <f>ROUND(((C32+D32)/2)*E32, 0)</f>
        <v/>
      </c>
      <c r="G32" s="8">
        <f>F32*1.21</f>
        <v/>
      </c>
    </row>
    <row r="33">
      <c r="A33" t="inlineStr">
        <is>
          <t>Role-based Access Control</t>
        </is>
      </c>
      <c r="B33" s="16" t="inlineStr">
        <is>
          <t>Hoog</t>
        </is>
      </c>
      <c r="C33" t="n">
        <v>8</v>
      </c>
      <c r="D33" t="n">
        <v>12</v>
      </c>
      <c r="E33" s="15" t="n">
        <v>85</v>
      </c>
      <c r="F33" s="8">
        <f>ROUND(((C33+D33)/2)*E33, 0)</f>
        <v/>
      </c>
      <c r="G33" s="8">
        <f>F33*1.21</f>
        <v/>
      </c>
    </row>
    <row r="34">
      <c r="A34" t="inlineStr">
        <is>
          <t>Activity Logging</t>
        </is>
      </c>
      <c r="B34" t="inlineStr">
        <is>
          <t>Laag</t>
        </is>
      </c>
      <c r="C34" t="n">
        <v>4</v>
      </c>
      <c r="D34" t="n">
        <v>6</v>
      </c>
      <c r="E34" s="15" t="n">
        <v>65</v>
      </c>
      <c r="F34" s="8">
        <f>ROUND(((C34+D34)/2)*E34, 0)</f>
        <v/>
      </c>
      <c r="G34" s="8">
        <f>F34*1.21</f>
        <v/>
      </c>
    </row>
    <row r="35">
      <c r="A35" t="inlineStr">
        <is>
          <t>Integration Testing</t>
        </is>
      </c>
      <c r="B35" s="14" t="inlineStr">
        <is>
          <t>Medium</t>
        </is>
      </c>
      <c r="C35" t="n">
        <v>8</v>
      </c>
      <c r="D35" t="n">
        <v>12</v>
      </c>
      <c r="E35" s="15" t="n">
        <v>75</v>
      </c>
      <c r="F35" s="8">
        <f>ROUND(((C35+D35)/2)*E35, 0)</f>
        <v/>
      </c>
      <c r="G35" s="8">
        <f>F35*1.21</f>
        <v/>
      </c>
    </row>
    <row r="36">
      <c r="A36" t="inlineStr">
        <is>
          <t>Load Testing (100+ users)</t>
        </is>
      </c>
      <c r="B36" s="14" t="inlineStr">
        <is>
          <t>Medium</t>
        </is>
      </c>
      <c r="C36" t="n">
        <v>5</v>
      </c>
      <c r="D36" t="n">
        <v>8</v>
      </c>
      <c r="E36" s="15" t="n">
        <v>75</v>
      </c>
      <c r="F36" s="8">
        <f>ROUND(((C36+D36)/2)*E36, 0)</f>
        <v/>
      </c>
      <c r="G36" s="8">
        <f>F36*1.21</f>
        <v/>
      </c>
    </row>
    <row r="37">
      <c r="A37" t="inlineStr">
        <is>
          <t>Security Audit</t>
        </is>
      </c>
      <c r="B37" s="16" t="inlineStr">
        <is>
          <t>Hoog</t>
        </is>
      </c>
      <c r="C37" t="n">
        <v>8</v>
      </c>
      <c r="D37" t="n">
        <v>12</v>
      </c>
      <c r="E37" s="15" t="n">
        <v>100</v>
      </c>
      <c r="F37" s="8">
        <f>ROUND(((C37+D37)/2)*E37, 0)</f>
        <v/>
      </c>
      <c r="G37" s="8">
        <f>F37*1.21</f>
        <v/>
      </c>
    </row>
    <row r="38">
      <c r="A38" t="inlineStr">
        <is>
          <t>Production Deployment</t>
        </is>
      </c>
      <c r="B38" s="14" t="inlineStr">
        <is>
          <t>Medium</t>
        </is>
      </c>
      <c r="C38" t="n">
        <v>4</v>
      </c>
      <c r="D38" t="n">
        <v>6</v>
      </c>
      <c r="E38" s="15" t="n">
        <v>75</v>
      </c>
      <c r="F38" s="8">
        <f>ROUND(((C38+D38)/2)*E38, 0)</f>
        <v/>
      </c>
      <c r="G38" s="8">
        <f>F38*1.21</f>
        <v/>
      </c>
    </row>
    <row r="39">
      <c r="A39" s="9" t="inlineStr">
        <is>
          <t>SUBTOTAAL FASE 2</t>
        </is>
      </c>
      <c r="C39" s="3">
        <f>SUM(C27:C38)</f>
        <v/>
      </c>
      <c r="D39" s="3">
        <f>SUM(D27:D38)</f>
        <v/>
      </c>
      <c r="F39" s="10">
        <f>SUM(F27:F38)</f>
        <v/>
      </c>
      <c r="G39" s="10">
        <f>SUM(G27:G38)</f>
        <v/>
      </c>
    </row>
  </sheetData>
  <mergeCells count="3">
    <mergeCell ref="A26:G26"/>
    <mergeCell ref="A1:G1"/>
    <mergeCell ref="A4:G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8" customWidth="1" min="5" max="5"/>
  </cols>
  <sheetData>
    <row r="1">
      <c r="A1" s="12" t="inlineStr">
        <is>
          <t>PRICING CALCULATOR</t>
        </is>
      </c>
    </row>
    <row r="3">
      <c r="A3" s="4" t="inlineStr">
        <is>
          <t>INPUT PARAMETERS</t>
        </is>
      </c>
      <c r="B3" s="5" t="n"/>
      <c r="C3" s="5" t="n"/>
      <c r="D3" s="5" t="n"/>
      <c r="E3" s="5" t="n"/>
    </row>
    <row r="5">
      <c r="A5" s="3" t="inlineStr">
        <is>
          <t>Aantal Gebruikers:</t>
        </is>
      </c>
      <c r="B5" s="19" t="n">
        <v>10</v>
      </c>
    </row>
    <row r="6">
      <c r="A6" s="3" t="inlineStr">
        <is>
          <t>Contract Periode (jaren):</t>
        </is>
      </c>
      <c r="B6" s="19" t="n">
        <v>3</v>
      </c>
    </row>
    <row r="7">
      <c r="A7" s="3" t="inlineStr">
        <is>
          <t>Support Level:</t>
        </is>
      </c>
      <c r="B7" s="20" t="inlineStr">
        <is>
          <t>Professional</t>
        </is>
      </c>
    </row>
    <row r="10">
      <c r="A10" s="4" t="inlineStr">
        <is>
          <t>PRICING MODELS VERGELIJKING</t>
        </is>
      </c>
      <c r="B10" s="5" t="n"/>
      <c r="C10" s="5" t="n"/>
      <c r="D10" s="5" t="n"/>
      <c r="E10" s="5" t="n"/>
    </row>
    <row r="11">
      <c r="A11" s="7" t="inlineStr">
        <is>
          <t>Model</t>
        </is>
      </c>
      <c r="B11" s="7" t="inlineStr">
        <is>
          <t>Jaar 1</t>
        </is>
      </c>
      <c r="C11" s="7" t="inlineStr">
        <is>
          <t>Jaar 2</t>
        </is>
      </c>
      <c r="D11" s="7" t="inlineStr">
        <is>
          <t>Jaar 3</t>
        </is>
      </c>
      <c r="E11" s="7" t="inlineStr">
        <is>
          <t>3-jaar Totaal</t>
        </is>
      </c>
    </row>
    <row r="12">
      <c r="A12" t="inlineStr">
        <is>
          <t>A. SaaS Subscription (€15/user/maand)</t>
        </is>
      </c>
      <c r="B12" s="8">
        <f>B5*15*12</f>
        <v/>
      </c>
      <c r="C12" s="8">
        <f>B12</f>
        <v/>
      </c>
      <c r="D12" s="8">
        <f>B12</f>
        <v/>
      </c>
      <c r="E12" s="8">
        <f>B12+C12+D12</f>
        <v/>
      </c>
    </row>
    <row r="13">
      <c r="A13" t="inlineStr">
        <is>
          <t>B. One-time License + Onderhoud</t>
        </is>
      </c>
      <c r="B13" s="8" t="n">
        <v>5000</v>
      </c>
      <c r="C13" s="8">
        <f>B13*0.20</f>
        <v/>
      </c>
      <c r="D13" s="8">
        <f>B13*0.20</f>
        <v/>
      </c>
      <c r="E13" s="8">
        <f>B13+C13+D13</f>
        <v/>
      </c>
    </row>
    <row r="14">
      <c r="A14" s="11" t="inlineStr">
        <is>
          <t>C. Hybrid (€4,500 + €6/user/maand) ⭐</t>
        </is>
      </c>
      <c r="B14" s="17">
        <f>4500+B5*6*12</f>
        <v/>
      </c>
      <c r="C14" s="17">
        <f>B5*6*12</f>
        <v/>
      </c>
      <c r="D14" s="17">
        <f>B5*6*12</f>
        <v/>
      </c>
      <c r="E14" s="17">
        <f>B14+C14+D14</f>
        <v/>
      </c>
    </row>
    <row r="18">
      <c r="A18" s="4" t="inlineStr">
        <is>
          <t>VOLUME DISCOUNT TABEL</t>
        </is>
      </c>
      <c r="B18" s="5" t="n"/>
      <c r="C18" s="5" t="n"/>
      <c r="D18" s="5" t="n"/>
    </row>
    <row r="19">
      <c r="A19" t="inlineStr">
        <is>
          <t>Gebruikers</t>
        </is>
      </c>
      <c r="B19" t="inlineStr">
        <is>
          <t>Discount %</t>
        </is>
      </c>
      <c r="C19" t="inlineStr">
        <is>
          <t>SaaS €/maand</t>
        </is>
      </c>
      <c r="D19" t="inlineStr">
        <is>
          <t>Hybrid Setup</t>
        </is>
      </c>
    </row>
    <row r="20">
      <c r="A20" t="inlineStr">
        <is>
          <t>1-5</t>
        </is>
      </c>
      <c r="B20" t="inlineStr">
        <is>
          <t>0%</t>
        </is>
      </c>
      <c r="C20" s="8" t="n">
        <v>15</v>
      </c>
      <c r="D20" s="15" t="n">
        <v>2500</v>
      </c>
    </row>
    <row r="21">
      <c r="A21" t="inlineStr">
        <is>
          <t>6-15</t>
        </is>
      </c>
      <c r="B21" t="inlineStr">
        <is>
          <t>5%</t>
        </is>
      </c>
      <c r="C21" s="8" t="n">
        <v>14.25</v>
      </c>
      <c r="D21" s="15" t="n">
        <v>4000</v>
      </c>
    </row>
    <row r="22">
      <c r="A22" t="inlineStr">
        <is>
          <t>16-25</t>
        </is>
      </c>
      <c r="B22" t="inlineStr">
        <is>
          <t>10%</t>
        </is>
      </c>
      <c r="C22" s="8" t="n">
        <v>13.5</v>
      </c>
      <c r="D22" s="15" t="n">
        <v>4500</v>
      </c>
    </row>
    <row r="23">
      <c r="A23" t="inlineStr">
        <is>
          <t>26-50</t>
        </is>
      </c>
      <c r="B23" t="inlineStr">
        <is>
          <t>15%</t>
        </is>
      </c>
      <c r="C23" s="8" t="n">
        <v>12.75</v>
      </c>
      <c r="D23" s="15" t="n">
        <v>5500</v>
      </c>
    </row>
    <row r="24">
      <c r="A24" t="inlineStr">
        <is>
          <t>50+</t>
        </is>
      </c>
      <c r="B24" t="inlineStr">
        <is>
          <t>20%</t>
        </is>
      </c>
      <c r="C24" s="8" t="n">
        <v>12</v>
      </c>
      <c r="D24" s="15" t="n">
        <v>7000</v>
      </c>
    </row>
  </sheetData>
  <mergeCells count="4">
    <mergeCell ref="A10:E10"/>
    <mergeCell ref="A1:E1"/>
    <mergeCell ref="A18:D18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</cols>
  <sheetData>
    <row r="1">
      <c r="A1" s="12" t="inlineStr">
        <is>
          <t>ROI ANALYSIS VOOR KLANTEN</t>
        </is>
      </c>
    </row>
    <row r="3">
      <c r="A3" s="4" t="inlineStr">
        <is>
          <t>SCENARIO: BOUWBEDRIJF MET 10 WERKNEMERS</t>
        </is>
      </c>
      <c r="B3" s="5" t="n"/>
      <c r="C3" s="5" t="n"/>
      <c r="D3" s="5" t="n"/>
      <c r="E3" s="5" t="n"/>
      <c r="F3" s="5" t="n"/>
    </row>
    <row r="5">
      <c r="A5" t="inlineStr">
        <is>
          <t>Parameter</t>
        </is>
      </c>
      <c r="B5" t="inlineStr">
        <is>
          <t>Waarde</t>
        </is>
      </c>
      <c r="C5" t="inlineStr">
        <is>
          <t>Eenheid</t>
        </is>
      </c>
    </row>
    <row r="6">
      <c r="A6" s="3" t="inlineStr">
        <is>
          <t>Aantal werknemers</t>
        </is>
      </c>
      <c r="B6" t="n">
        <v>10</v>
      </c>
      <c r="C6" t="inlineStr">
        <is>
          <t>personen</t>
        </is>
      </c>
    </row>
    <row r="7">
      <c r="A7" s="3" t="inlineStr">
        <is>
          <t>Gemiddeld uurloon</t>
        </is>
      </c>
      <c r="B7" t="n">
        <v>30</v>
      </c>
      <c r="C7" t="inlineStr">
        <is>
          <t>€/uur</t>
        </is>
      </c>
    </row>
    <row r="8">
      <c r="A8" s="3" t="inlineStr">
        <is>
          <t>Werkweken per jaar</t>
        </is>
      </c>
      <c r="B8" t="n">
        <v>48</v>
      </c>
      <c r="C8" t="inlineStr">
        <is>
          <t>weken</t>
        </is>
      </c>
    </row>
    <row r="11">
      <c r="A11" s="4" t="inlineStr">
        <is>
          <t>HUIDIGE SITUATIE (Papieren urenstaten)</t>
        </is>
      </c>
      <c r="B11" s="5" t="n"/>
      <c r="C11" s="5" t="n"/>
      <c r="D11" s="5" t="n"/>
      <c r="E11" s="5" t="n"/>
      <c r="F11" s="5" t="n"/>
    </row>
    <row r="12">
      <c r="A12" s="3" t="inlineStr">
        <is>
          <t>Tijd per werknemer per week</t>
        </is>
      </c>
      <c r="B12" t="n">
        <v>0.5</v>
      </c>
      <c r="C12" t="inlineStr">
        <is>
          <t>uur</t>
        </is>
      </c>
    </row>
    <row r="13">
      <c r="A13" s="3" t="inlineStr">
        <is>
          <t>Totale tijd per week</t>
        </is>
      </c>
      <c r="B13">
        <f>B9*B12</f>
        <v/>
      </c>
      <c r="C13" t="inlineStr">
        <is>
          <t>uur</t>
        </is>
      </c>
    </row>
    <row r="14">
      <c r="A14" s="3" t="inlineStr">
        <is>
          <t>Maandelijkse kosten (4 weken)</t>
        </is>
      </c>
      <c r="B14" s="8">
        <f>B13*4*B9</f>
        <v/>
      </c>
      <c r="C14" t="inlineStr">
        <is>
          <t>€/maand</t>
        </is>
      </c>
    </row>
    <row r="15">
      <c r="A15" t="inlineStr">
        <is>
          <t>Jaarlijkse kosten</t>
        </is>
      </c>
      <c r="B15" s="21">
        <f>B14*12</f>
        <v/>
      </c>
      <c r="C15" t="inlineStr">
        <is>
          <t>€/jaar</t>
        </is>
      </c>
    </row>
    <row r="18">
      <c r="A18" s="4" t="inlineStr">
        <is>
          <t>MET CH CONSTRUCT TIMESHEET</t>
        </is>
      </c>
      <c r="B18" s="5" t="n"/>
      <c r="C18" s="5" t="n"/>
      <c r="D18" s="5" t="n"/>
      <c r="E18" s="5" t="n"/>
      <c r="F18" s="5" t="n"/>
    </row>
    <row r="19">
      <c r="A19" s="3" t="inlineStr">
        <is>
          <t>Tijd per werknemer per week</t>
        </is>
      </c>
      <c r="B19" t="n">
        <v>0.083</v>
      </c>
      <c r="C19" t="inlineStr">
        <is>
          <t>uur (5 min)</t>
        </is>
      </c>
    </row>
    <row r="20">
      <c r="A20" s="3" t="inlineStr">
        <is>
          <t>Totale tijd per week</t>
        </is>
      </c>
      <c r="B20">
        <f>B6*B19</f>
        <v/>
      </c>
      <c r="C20" t="inlineStr">
        <is>
          <t>uur</t>
        </is>
      </c>
    </row>
    <row r="21">
      <c r="A21" s="3" t="inlineStr">
        <is>
          <t>Maandelijkse besparing</t>
        </is>
      </c>
      <c r="B21" s="8">
        <f>B14-B20*4*B6</f>
        <v/>
      </c>
      <c r="C21" t="inlineStr">
        <is>
          <t>€/maand</t>
        </is>
      </c>
    </row>
    <row r="22">
      <c r="A22" t="inlineStr">
        <is>
          <t>Jaarlijkse besparing</t>
        </is>
      </c>
      <c r="B22" s="17">
        <f>B21*12</f>
        <v/>
      </c>
      <c r="C22" t="inlineStr">
        <is>
          <t>€/jaar</t>
        </is>
      </c>
    </row>
    <row r="25">
      <c r="A25" s="4" t="inlineStr">
        <is>
          <t>INVESTERING &amp; ROI (Hybrid Model)</t>
        </is>
      </c>
      <c r="B25" s="5" t="n"/>
      <c r="C25" s="5" t="n"/>
      <c r="D25" s="5" t="n"/>
      <c r="E25" s="5" t="n"/>
      <c r="F25" s="5" t="n"/>
    </row>
    <row r="26">
      <c r="A26" t="inlineStr">
        <is>
          <t>Setup kosten</t>
        </is>
      </c>
      <c r="B26" s="8" t="n">
        <v>4500</v>
      </c>
      <c r="C26" t="inlineStr">
        <is>
          <t>€ (eenmalig)</t>
        </is>
      </c>
    </row>
    <row r="27">
      <c r="A27" t="inlineStr">
        <is>
          <t>Jaarlijkse kosten</t>
        </is>
      </c>
      <c r="B27" s="8">
        <f>10*6*12</f>
        <v/>
      </c>
      <c r="C27" t="inlineStr">
        <is>
          <t>€/jaar</t>
        </is>
      </c>
    </row>
    <row r="28">
      <c r="A28" t="inlineStr">
        <is>
          <t>3-jaar totale investering</t>
        </is>
      </c>
      <c r="B28" s="8">
        <f>B26+B27*3</f>
        <v/>
      </c>
      <c r="C28" t="inlineStr">
        <is>
          <t>€ (3 jaar)</t>
        </is>
      </c>
    </row>
    <row r="30">
      <c r="A30" t="inlineStr">
        <is>
          <t>3-jaar besparing</t>
        </is>
      </c>
      <c r="B30" s="22">
        <f>B22*3</f>
        <v/>
      </c>
      <c r="C30" t="inlineStr">
        <is>
          <t>€</t>
        </is>
      </c>
    </row>
    <row r="31">
      <c r="A31" t="inlineStr">
        <is>
          <t>Netto winst (3 jaar)</t>
        </is>
      </c>
      <c r="B31" s="23">
        <f>B30-B28</f>
        <v/>
      </c>
      <c r="C31" t="inlineStr">
        <is>
          <t>€</t>
        </is>
      </c>
    </row>
    <row r="32">
      <c r="A32" t="inlineStr">
        <is>
          <t>ROI Percentage</t>
        </is>
      </c>
      <c r="B32" s="24">
        <f>(B30-B28)/B28</f>
        <v/>
      </c>
      <c r="C32" t="inlineStr">
        <is>
          <t>%</t>
        </is>
      </c>
    </row>
    <row r="33">
      <c r="A33" t="inlineStr">
        <is>
          <t>Break-even periode</t>
        </is>
      </c>
      <c r="B33" s="25">
        <f>B26/(B22/12)</f>
        <v/>
      </c>
      <c r="C33" t="inlineStr">
        <is>
          <t>maanden</t>
        </is>
      </c>
    </row>
    <row r="36">
      <c r="A36" s="4" t="inlineStr">
        <is>
          <t>EXTRA VOORDELEN (Niet gekwantificeerd)</t>
        </is>
      </c>
      <c r="B36" s="5" t="n"/>
      <c r="C36" s="5" t="n"/>
      <c r="D36" s="5" t="n"/>
      <c r="E36" s="5" t="n"/>
      <c r="F36" s="5" t="n"/>
    </row>
    <row r="37">
      <c r="A37" t="inlineStr">
        <is>
          <t>✅ Minder fouten in urenstaten (-25%)</t>
        </is>
      </c>
    </row>
    <row r="38">
      <c r="A38" t="inlineStr">
        <is>
          <t>✅ Snellere facturatie (3-5 dagen eerder)</t>
        </is>
      </c>
    </row>
    <row r="39">
      <c r="A39" t="inlineStr">
        <is>
          <t>✅ Betere data voor projectmanagement</t>
        </is>
      </c>
    </row>
    <row r="40">
      <c r="A40" t="inlineStr">
        <is>
          <t>✅ Professionelere uitstraling naar klanten</t>
        </is>
      </c>
    </row>
    <row r="41">
      <c r="A41" t="inlineStr">
        <is>
          <t>✅ Compliance &amp; audit trail</t>
        </is>
      </c>
    </row>
    <row r="42">
      <c r="A42" t="inlineStr">
        <is>
          <t>✅ Minder telefoontjes "waar is je urenstaat?"</t>
        </is>
      </c>
    </row>
  </sheetData>
  <mergeCells count="12">
    <mergeCell ref="A38:F38"/>
    <mergeCell ref="A41:F41"/>
    <mergeCell ref="A11:F11"/>
    <mergeCell ref="A42:F42"/>
    <mergeCell ref="A36:F36"/>
    <mergeCell ref="A1:F1"/>
    <mergeCell ref="A37:F37"/>
    <mergeCell ref="A40:F40"/>
    <mergeCell ref="A18:F18"/>
    <mergeCell ref="A3:F3"/>
    <mergeCell ref="A39:F39"/>
    <mergeCell ref="A25:F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7" max="7"/>
  </cols>
  <sheetData>
    <row r="1">
      <c r="A1" s="12" t="inlineStr">
        <is>
          <t>CONCURRENTIE ANALYSE</t>
        </is>
      </c>
    </row>
    <row r="3">
      <c r="A3" s="4" t="inlineStr">
        <is>
          <t>Feature/Product</t>
        </is>
      </c>
      <c r="B3" s="4" t="inlineStr">
        <is>
          <t>Toggl Track</t>
        </is>
      </c>
      <c r="C3" s="4" t="inlineStr">
        <is>
          <t>Clockify</t>
        </is>
      </c>
      <c r="D3" s="4" t="inlineStr">
        <is>
          <t>Harvest</t>
        </is>
      </c>
      <c r="E3" s="4" t="inlineStr">
        <is>
          <t>TimeCamp</t>
        </is>
      </c>
      <c r="F3" s="4" t="inlineStr">
        <is>
          <t>CH Construct</t>
        </is>
      </c>
      <c r="G3" s="4" t="inlineStr">
        <is>
          <t>Gewicht</t>
        </is>
      </c>
    </row>
    <row r="4">
      <c r="A4" t="inlineStr">
        <is>
          <t>Prijs/gebruiker/maand</t>
        </is>
      </c>
      <c r="B4" t="inlineStr">
        <is>
          <t>€9-18</t>
        </is>
      </c>
      <c r="C4" t="inlineStr">
        <is>
          <t>€0-10</t>
        </is>
      </c>
      <c r="D4" t="inlineStr">
        <is>
          <t>€12-16</t>
        </is>
      </c>
      <c r="E4" t="inlineStr">
        <is>
          <t>€7-10</t>
        </is>
      </c>
      <c r="F4" s="26" t="inlineStr">
        <is>
          <t>€6-25*</t>
        </is>
      </c>
      <c r="G4" t="n">
        <v>20</v>
      </c>
    </row>
    <row r="5">
      <c r="A5" t="inlineStr">
        <is>
          <t>Offline functionaliteit</t>
        </is>
      </c>
      <c r="B5" s="27" t="inlineStr">
        <is>
          <t>❌ Beperkt</t>
        </is>
      </c>
      <c r="C5" s="27" t="inlineStr">
        <is>
          <t>❌ Nee</t>
        </is>
      </c>
      <c r="D5" s="27" t="inlineStr">
        <is>
          <t>❌ Nee</t>
        </is>
      </c>
      <c r="E5" s="28" t="inlineStr">
        <is>
          <t>⚠️ Beperkt</t>
        </is>
      </c>
      <c r="F5" s="29" t="inlineStr">
        <is>
          <t>✅ Volledig</t>
        </is>
      </c>
      <c r="G5" t="n">
        <v>25</v>
      </c>
    </row>
    <row r="6">
      <c r="A6" t="inlineStr">
        <is>
          <t>Data privacy (lokaal)</t>
        </is>
      </c>
      <c r="B6" s="27" t="inlineStr">
        <is>
          <t>❌ Cloud</t>
        </is>
      </c>
      <c r="C6" s="27" t="inlineStr">
        <is>
          <t>❌ Cloud</t>
        </is>
      </c>
      <c r="D6" s="27" t="inlineStr">
        <is>
          <t>❌ Cloud</t>
        </is>
      </c>
      <c r="E6" s="27" t="inlineStr">
        <is>
          <t>❌ Cloud</t>
        </is>
      </c>
      <c r="F6" s="29" t="inlineStr">
        <is>
          <t>✅ 100% Lokaal</t>
        </is>
      </c>
      <c r="G6" t="n">
        <v>15</v>
      </c>
    </row>
    <row r="7">
      <c r="A7" t="inlineStr">
        <is>
          <t>Bouw-specifieke features</t>
        </is>
      </c>
      <c r="B7" s="27" t="inlineStr">
        <is>
          <t>❌ Nee</t>
        </is>
      </c>
      <c r="C7" s="27" t="inlineStr">
        <is>
          <t>❌ Nee</t>
        </is>
      </c>
      <c r="D7" s="27" t="inlineStr">
        <is>
          <t>❌ Nee</t>
        </is>
      </c>
      <c r="E7" s="27" t="inlineStr">
        <is>
          <t>❌ Nee</t>
        </is>
      </c>
      <c r="F7" s="29" t="inlineStr">
        <is>
          <t>✅ Ja</t>
        </is>
      </c>
      <c r="G7" t="n">
        <v>20</v>
      </c>
    </row>
    <row r="8">
      <c r="A8" t="inlineStr">
        <is>
          <t>Nederlandse interface</t>
        </is>
      </c>
      <c r="B8" s="28" t="inlineStr">
        <is>
          <t>⚠️ Engels</t>
        </is>
      </c>
      <c r="C8" s="28" t="inlineStr">
        <is>
          <t>⚠️ Engels</t>
        </is>
      </c>
      <c r="D8" s="27" t="inlineStr">
        <is>
          <t>❌ Engels</t>
        </is>
      </c>
      <c r="E8" s="28" t="inlineStr">
        <is>
          <t>⚠️ Engels</t>
        </is>
      </c>
      <c r="F8" s="29" t="inlineStr">
        <is>
          <t>✅ Nederlands</t>
        </is>
      </c>
      <c r="G8" t="n">
        <v>10</v>
      </c>
    </row>
    <row r="9">
      <c r="A9" t="inlineStr">
        <is>
          <t>Multi-profiel (1 device)</t>
        </is>
      </c>
      <c r="B9" s="27" t="inlineStr">
        <is>
          <t>❌ Nee</t>
        </is>
      </c>
      <c r="C9" s="27" t="inlineStr">
        <is>
          <t>❌ Nee</t>
        </is>
      </c>
      <c r="D9" s="27" t="inlineStr">
        <is>
          <t>❌ Nee</t>
        </is>
      </c>
      <c r="E9" s="27" t="inlineStr">
        <is>
          <t>❌ Nee</t>
        </is>
      </c>
      <c r="F9" s="29" t="inlineStr">
        <is>
          <t>✅ Ja</t>
        </is>
      </c>
      <c r="G9" t="n">
        <v>15</v>
      </c>
    </row>
    <row r="10">
      <c r="A10" t="inlineStr">
        <is>
          <t>PDF met logo</t>
        </is>
      </c>
      <c r="B10" s="28" t="inlineStr">
        <is>
          <t>⚠️ Basis</t>
        </is>
      </c>
      <c r="C10" s="28" t="inlineStr">
        <is>
          <t>⚠️ Basis</t>
        </is>
      </c>
      <c r="D10" s="11" t="inlineStr">
        <is>
          <t>✅ Goed</t>
        </is>
      </c>
      <c r="E10" s="28" t="inlineStr">
        <is>
          <t>⚠️ Basis</t>
        </is>
      </c>
      <c r="F10" s="29" t="inlineStr">
        <is>
          <t>✅ Professioneel</t>
        </is>
      </c>
      <c r="G10" t="n">
        <v>10</v>
      </c>
    </row>
    <row r="11">
      <c r="A11" t="inlineStr">
        <is>
          <t>Setup tijd</t>
        </is>
      </c>
      <c r="B11" t="inlineStr">
        <is>
          <t>2-3 uur</t>
        </is>
      </c>
      <c r="C11" t="inlineStr">
        <is>
          <t>2-3 uur</t>
        </is>
      </c>
      <c r="D11" t="inlineStr">
        <is>
          <t>3-4 uur</t>
        </is>
      </c>
      <c r="E11" t="inlineStr">
        <is>
          <t>2-3 uur</t>
        </is>
      </c>
      <c r="F11" s="26" t="inlineStr">
        <is>
          <t>10 min</t>
        </is>
      </c>
      <c r="G11" t="n">
        <v>5</v>
      </c>
    </row>
    <row r="12">
      <c r="A12" t="inlineStr">
        <is>
          <t>Zonder internet vereist</t>
        </is>
      </c>
      <c r="B12" s="27" t="inlineStr">
        <is>
          <t>❌ Nee</t>
        </is>
      </c>
      <c r="C12" s="27" t="inlineStr">
        <is>
          <t>❌ Nee</t>
        </is>
      </c>
      <c r="D12" s="27" t="inlineStr">
        <is>
          <t>❌ Nee</t>
        </is>
      </c>
      <c r="E12" s="27" t="inlineStr">
        <is>
          <t>❌ Nee</t>
        </is>
      </c>
      <c r="F12" s="29" t="inlineStr">
        <is>
          <t>✅ Ja</t>
        </is>
      </c>
      <c r="G12" t="n">
        <v>25</v>
      </c>
    </row>
    <row r="13">
      <c r="A13" t="inlineStr">
        <is>
          <t>Pauze registratie</t>
        </is>
      </c>
      <c r="B13" s="11" t="inlineStr">
        <is>
          <t>✅ Ja</t>
        </is>
      </c>
      <c r="C13" s="11" t="inlineStr">
        <is>
          <t>✅ Ja</t>
        </is>
      </c>
      <c r="D13" s="11" t="inlineStr">
        <is>
          <t>✅ Ja</t>
        </is>
      </c>
      <c r="E13" s="11" t="inlineStr">
        <is>
          <t>✅ Ja</t>
        </is>
      </c>
      <c r="F13" s="29" t="inlineStr">
        <is>
          <t>✅ Ja + Auto</t>
        </is>
      </c>
      <c r="G13" t="n">
        <v>5</v>
      </c>
    </row>
    <row r="16">
      <c r="A16" s="9" t="inlineStr">
        <is>
          <t>TOTAAL SCORE (gewogen)</t>
        </is>
      </c>
    </row>
    <row r="17">
      <c r="A17" t="inlineStr">
        <is>
          <t>Toggl</t>
        </is>
      </c>
      <c r="B17" t="n">
        <v>65</v>
      </c>
      <c r="C17" t="inlineStr">
        <is>
          <t>/100</t>
        </is>
      </c>
    </row>
    <row r="18">
      <c r="A18" t="inlineStr">
        <is>
          <t>Clockify</t>
        </is>
      </c>
      <c r="B18" t="n">
        <v>70</v>
      </c>
      <c r="C18" t="inlineStr">
        <is>
          <t>/100</t>
        </is>
      </c>
    </row>
    <row r="19">
      <c r="A19" t="inlineStr">
        <is>
          <t>Harvest</t>
        </is>
      </c>
      <c r="B19" t="n">
        <v>68</v>
      </c>
      <c r="C19" t="inlineStr">
        <is>
          <t>/100</t>
        </is>
      </c>
    </row>
    <row r="20">
      <c r="A20" t="inlineStr">
        <is>
          <t>TimeCamp</t>
        </is>
      </c>
      <c r="B20" t="n">
        <v>72</v>
      </c>
      <c r="C20" t="inlineStr">
        <is>
          <t>/100</t>
        </is>
      </c>
    </row>
    <row r="21">
      <c r="A21" t="inlineStr">
        <is>
          <t>CH Construct</t>
        </is>
      </c>
      <c r="B21" s="30" t="n">
        <v>92</v>
      </c>
      <c r="C21" t="inlineStr">
        <is>
          <t>/100</t>
        </is>
      </c>
    </row>
    <row r="24">
      <c r="A24" s="4" t="inlineStr">
        <is>
          <t>UNIQUE SELLING POINTS CH CONSTRUCT</t>
        </is>
      </c>
      <c r="B24" s="5" t="n"/>
      <c r="C24" s="5" t="n"/>
      <c r="D24" s="5" t="n"/>
      <c r="E24" s="5" t="n"/>
      <c r="F24" s="5" t="n"/>
      <c r="G24" s="5" t="n"/>
      <c r="H24" s="5" t="n"/>
    </row>
    <row r="25">
      <c r="A25" s="31" t="inlineStr">
        <is>
          <t>🎯 Enige oplossing specifiek voor Nederlandse bouw/techniek sector</t>
        </is>
      </c>
    </row>
    <row r="26">
      <c r="A26" s="31" t="inlineStr">
        <is>
          <t>📱 Werkt 100% offline - geen internet vereist op de bouwplaats</t>
        </is>
      </c>
    </row>
    <row r="27">
      <c r="A27" s="31" t="inlineStr">
        <is>
          <t>🔒 Privacy first - alle data blijft lokaal (GDPR compliant)</t>
        </is>
      </c>
    </row>
    <row r="28">
      <c r="A28" s="31" t="inlineStr">
        <is>
          <t>👥 Multi-profiel support - meerdere werknemers op één tablet</t>
        </is>
      </c>
    </row>
    <row r="29">
      <c r="A29" s="31" t="inlineStr">
        <is>
          <t>🇳🇱 Volledig Nederlandse interface - intuïtief voor werkvloer</t>
        </is>
      </c>
    </row>
    <row r="30">
      <c r="A30" s="31" t="inlineStr">
        <is>
          <t>💰 Geen SaaS lock-in - keuze tussen pricing modellen</t>
        </is>
      </c>
    </row>
    <row r="31">
      <c r="A31" s="31" t="inlineStr">
        <is>
          <t>⚡ Ultrasnelle setup - 10 minuten vs. 2-3 uur bij concurrenten</t>
        </is>
      </c>
    </row>
  </sheetData>
  <mergeCells count="9">
    <mergeCell ref="A26:H26"/>
    <mergeCell ref="A30:H30"/>
    <mergeCell ref="A29:H29"/>
    <mergeCell ref="A25:H25"/>
    <mergeCell ref="A24:H24"/>
    <mergeCell ref="A28:H28"/>
    <mergeCell ref="A1:H1"/>
    <mergeCell ref="A27:H27"/>
    <mergeCell ref="A31:H3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8" customWidth="1" min="4" max="4"/>
    <col width="20" customWidth="1" min="5" max="5"/>
  </cols>
  <sheetData>
    <row r="1">
      <c r="A1" s="12" t="inlineStr">
        <is>
          <t>DEVELOPMENT ROADMAP &amp; TIMELINE</t>
        </is>
      </c>
    </row>
    <row r="3">
      <c r="A3" s="32" t="inlineStr">
        <is>
          <t>FASE 1: CORE APP (VOLTOOID ✅)</t>
        </is>
      </c>
    </row>
    <row r="4">
      <c r="A4" t="inlineStr">
        <is>
          <t>Duur: 5 dagen (10-15 april 2026)</t>
        </is>
      </c>
    </row>
    <row r="5">
      <c r="A5" s="3" t="inlineStr">
        <is>
          <t>Status: Production Ready | Kosten: €8,415 (ex BTW)</t>
        </is>
      </c>
    </row>
    <row r="7">
      <c r="A7" s="33" t="inlineStr">
        <is>
          <t>✅ Database setup (Dexie/IndexedDB)</t>
        </is>
      </c>
    </row>
    <row r="8">
      <c r="A8" s="33" t="inlineStr">
        <is>
          <t>✅ Time entry CRUD operaties</t>
        </is>
      </c>
    </row>
    <row r="9">
      <c r="A9" s="33" t="inlineStr">
        <is>
          <t>✅ Multi-profiel management</t>
        </is>
      </c>
    </row>
    <row r="10">
      <c r="A10" s="33" t="inlineStr">
        <is>
          <t>✅ Client &amp; location management</t>
        </is>
      </c>
    </row>
    <row r="11">
      <c r="A11" s="33" t="inlineStr">
        <is>
          <t>✅ Week overzicht &amp; navigatie</t>
        </is>
      </c>
    </row>
    <row r="12">
      <c r="A12" s="33" t="inlineStr">
        <is>
          <t>✅ PDF export met logo</t>
        </is>
      </c>
    </row>
    <row r="13">
      <c r="A13" s="33" t="inlineStr">
        <is>
          <t>✅ PWA installatie &amp; offline mode</t>
        </is>
      </c>
    </row>
    <row r="14">
      <c r="A14" s="33" t="inlineStr">
        <is>
          <t>✅ Notification systeem</t>
        </is>
      </c>
    </row>
    <row r="15">
      <c r="A15" s="33" t="inlineStr">
        <is>
          <t>✅ Performance optimalisaties</t>
        </is>
      </c>
    </row>
    <row r="16">
      <c r="A16" s="33" t="inlineStr">
        <is>
          <t>✅ Volledige documentatie</t>
        </is>
      </c>
    </row>
    <row r="19">
      <c r="A19" s="34" t="inlineStr">
        <is>
          <t>FASE 2: BACKEND &amp; MULTI-USER</t>
        </is>
      </c>
    </row>
    <row r="20">
      <c r="A20" s="3" t="inlineStr">
        <is>
          <t>Duur: 8-12 weken | Kosten: €7,500 (ex BTW)</t>
        </is>
      </c>
    </row>
    <row r="22">
      <c r="A22" s="3" t="inlineStr">
        <is>
          <t>Week 1-3: API Development</t>
        </is>
      </c>
    </row>
    <row r="23">
      <c r="A23" t="inlineStr">
        <is>
          <t xml:space="preserve">  • REST API setup (Node.js/Firebase)</t>
        </is>
      </c>
    </row>
    <row r="24">
      <c r="A24" t="inlineStr">
        <is>
          <t xml:space="preserve">  • Authentication &amp; authorization</t>
        </is>
      </c>
    </row>
    <row r="25">
      <c r="A25" t="inlineStr">
        <is>
          <t xml:space="preserve">  • Data sync protocollen</t>
        </is>
      </c>
    </row>
    <row r="27">
      <c r="A27" s="3" t="inlineStr">
        <is>
          <t>Week 4-6: Multi-user Features</t>
        </is>
      </c>
    </row>
    <row r="28">
      <c r="A28" t="inlineStr">
        <is>
          <t xml:space="preserve">  • Team dashboard</t>
        </is>
      </c>
    </row>
    <row r="29">
      <c r="A29" t="inlineStr">
        <is>
          <t xml:space="preserve">  • Manager goedkeuringen</t>
        </is>
      </c>
    </row>
    <row r="30">
      <c r="A30" t="inlineStr">
        <is>
          <t xml:space="preserve">  • Role-based access control</t>
        </is>
      </c>
    </row>
    <row r="32">
      <c r="A32" s="3" t="inlineStr">
        <is>
          <t>Week 7-8: Testing &amp; Deployment</t>
        </is>
      </c>
    </row>
    <row r="33">
      <c r="A33" t="inlineStr">
        <is>
          <t xml:space="preserve">  • Integration testing</t>
        </is>
      </c>
    </row>
    <row r="34">
      <c r="A34" t="inlineStr">
        <is>
          <t xml:space="preserve">  • Load testing (100+ users)</t>
        </is>
      </c>
    </row>
    <row r="35">
      <c r="A35" t="inlineStr">
        <is>
          <t xml:space="preserve">  • Security audit</t>
        </is>
      </c>
    </row>
    <row r="38">
      <c r="A38" s="34" t="inlineStr">
        <is>
          <t>FASE 3: NATIVE MOBILE APPS</t>
        </is>
      </c>
    </row>
    <row r="39">
      <c r="A39" s="3" t="inlineStr">
        <is>
          <t>Duur: 12-16 weken | Kosten: €19,500 (iOS €10,500 + Android €9,000)</t>
        </is>
      </c>
    </row>
    <row r="41">
      <c r="A41" s="3" t="inlineStr">
        <is>
          <t>Week 1-8: iOS Development</t>
        </is>
      </c>
    </row>
    <row r="42">
      <c r="A42" t="inlineStr">
        <is>
          <t xml:space="preserve">  • App structure &amp; navigation</t>
        </is>
      </c>
    </row>
    <row r="43">
      <c r="A43" t="inlineStr">
        <is>
          <t xml:space="preserve">  • Core features port</t>
        </is>
      </c>
    </row>
    <row r="44">
      <c r="A44" t="inlineStr">
        <is>
          <t xml:space="preserve">  • iOS-specific features (Face ID, widgets)</t>
        </is>
      </c>
    </row>
    <row r="45">
      <c r="A45" t="inlineStr">
        <is>
          <t xml:space="preserve">  • App Store submission</t>
        </is>
      </c>
    </row>
    <row r="47">
      <c r="A47" s="3" t="inlineStr">
        <is>
          <t>Week 1-6: Android Development (parallel)</t>
        </is>
      </c>
    </row>
    <row r="48">
      <c r="A48" t="inlineStr">
        <is>
          <t xml:space="preserve">  • App structure &amp; navigation</t>
        </is>
      </c>
    </row>
    <row r="49">
      <c r="A49" t="inlineStr">
        <is>
          <t xml:space="preserve">  • Core features port</t>
        </is>
      </c>
    </row>
    <row r="50">
      <c r="A50" t="inlineStr">
        <is>
          <t xml:space="preserve">  • Play Store submission</t>
        </is>
      </c>
    </row>
    <row r="54">
      <c r="A54" s="4" t="inlineStr">
        <is>
          <t>SAMENVATTING PLANNING</t>
        </is>
      </c>
      <c r="B54" s="5" t="n"/>
      <c r="C54" s="5" t="n"/>
      <c r="D54" s="5" t="n"/>
      <c r="E54" s="5" t="n"/>
      <c r="F54" s="5" t="n"/>
    </row>
    <row r="55">
      <c r="A55" s="7" t="inlineStr">
        <is>
          <t>Fase</t>
        </is>
      </c>
      <c r="B55" s="7" t="inlineStr">
        <is>
          <t>Duur</t>
        </is>
      </c>
      <c r="C55" s="7" t="inlineStr">
        <is>
          <t>Status</t>
        </is>
      </c>
      <c r="D55" s="7" t="inlineStr">
        <is>
          <t>Kosten (ex BTW)</t>
        </is>
      </c>
      <c r="E55" s="7" t="inlineStr">
        <is>
          <t>Kosten (inc BTW)</t>
        </is>
      </c>
    </row>
    <row r="56">
      <c r="A56" t="inlineStr">
        <is>
          <t>Fase 1: Core App</t>
        </is>
      </c>
      <c r="B56" t="inlineStr">
        <is>
          <t>5 dagen</t>
        </is>
      </c>
      <c r="C56" s="32" t="inlineStr">
        <is>
          <t>✅ Voltooid</t>
        </is>
      </c>
      <c r="D56" s="8" t="n">
        <v>8415</v>
      </c>
      <c r="E56" s="8">
        <f>D56*1.21</f>
        <v/>
      </c>
    </row>
    <row r="57">
      <c r="A57" t="inlineStr">
        <is>
          <t>Fase 2: Backend</t>
        </is>
      </c>
      <c r="B57" t="inlineStr">
        <is>
          <t>8-12 weken</t>
        </is>
      </c>
      <c r="C57" t="inlineStr">
        <is>
          <t>📅 Te plannen</t>
        </is>
      </c>
      <c r="D57" s="8" t="n">
        <v>7500</v>
      </c>
      <c r="E57" s="8">
        <f>D57*1.21</f>
        <v/>
      </c>
    </row>
    <row r="58">
      <c r="A58" t="inlineStr">
        <is>
          <t>Fase 3: Mobile Apps</t>
        </is>
      </c>
      <c r="B58" t="inlineStr">
        <is>
          <t>12-16 weken</t>
        </is>
      </c>
      <c r="C58" t="inlineStr">
        <is>
          <t>📅 Te plannen</t>
        </is>
      </c>
      <c r="D58" s="8" t="n">
        <v>19500</v>
      </c>
      <c r="E58" s="8">
        <f>D58*1.21</f>
        <v/>
      </c>
    </row>
    <row r="59">
      <c r="A59" t="inlineStr">
        <is>
          <t>Fase 4: Enterprise</t>
        </is>
      </c>
      <c r="B59" t="inlineStr">
        <is>
          <t>6-10 weken</t>
        </is>
      </c>
      <c r="C59" t="inlineStr">
        <is>
          <t>📅 Te plannen</t>
        </is>
      </c>
      <c r="D59" s="8" t="n">
        <v>14250</v>
      </c>
      <c r="E59" s="8">
        <f>D59*1.21</f>
        <v/>
      </c>
    </row>
    <row r="60">
      <c r="A60" s="9" t="inlineStr">
        <is>
          <t>TOTAAL ALLE FASES</t>
        </is>
      </c>
      <c r="D60" s="35">
        <f>SUM(D56:D59)</f>
        <v/>
      </c>
      <c r="E60" s="35">
        <f>SUM(E56:E59)</f>
        <v/>
      </c>
    </row>
  </sheetData>
  <mergeCells count="19">
    <mergeCell ref="A16:F16"/>
    <mergeCell ref="A54:F54"/>
    <mergeCell ref="A12:F12"/>
    <mergeCell ref="A3:F3"/>
    <mergeCell ref="A14:F14"/>
    <mergeCell ref="A5:F5"/>
    <mergeCell ref="A8:F8"/>
    <mergeCell ref="A4:F4"/>
    <mergeCell ref="A20:F20"/>
    <mergeCell ref="A38:F38"/>
    <mergeCell ref="A10:F10"/>
    <mergeCell ref="A13:F13"/>
    <mergeCell ref="A19:F19"/>
    <mergeCell ref="A9:F9"/>
    <mergeCell ref="A39:F39"/>
    <mergeCell ref="A15:F15"/>
    <mergeCell ref="A11:F11"/>
    <mergeCell ref="A1:F1"/>
    <mergeCell ref="A7:F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20" customWidth="1" min="3" max="3"/>
    <col width="20" customWidth="1" min="4" max="4"/>
    <col width="15" customWidth="1" min="5" max="5"/>
  </cols>
  <sheetData>
    <row r="1">
      <c r="A1" s="12" t="inlineStr">
        <is>
          <t>ONDERHOUD &amp; SUPPORT KOSTEN</t>
        </is>
      </c>
    </row>
    <row r="3">
      <c r="A3" s="4" t="inlineStr">
        <is>
          <t>JAARLIJKSE SUPPORT PAKKETTEN</t>
        </is>
      </c>
      <c r="B3" s="5" t="n"/>
      <c r="C3" s="5" t="n"/>
      <c r="D3" s="5" t="n"/>
      <c r="E3" s="5" t="n"/>
    </row>
    <row r="4">
      <c r="A4" s="7" t="inlineStr">
        <is>
          <t>Tier</t>
        </is>
      </c>
      <c r="B4" s="7" t="inlineStr">
        <is>
          <t>Prijs/jaar (ex BTW)</t>
        </is>
      </c>
      <c r="C4" s="7" t="inlineStr">
        <is>
          <t>Response Time</t>
        </is>
      </c>
      <c r="D4" s="7" t="inlineStr">
        <is>
          <t>Kanalen</t>
        </is>
      </c>
      <c r="E4" s="7" t="inlineStr">
        <is>
          <t>SLA Uptime</t>
        </is>
      </c>
    </row>
    <row r="5">
      <c r="A5" t="inlineStr">
        <is>
          <t>Basic</t>
        </is>
      </c>
      <c r="B5" s="8" t="n">
        <v>1200</v>
      </c>
      <c r="C5" t="inlineStr">
        <is>
          <t>48 uur</t>
        </is>
      </c>
      <c r="D5" t="inlineStr">
        <is>
          <t>Email</t>
        </is>
      </c>
      <c r="E5" t="inlineStr">
        <is>
          <t>99%</t>
        </is>
      </c>
    </row>
    <row r="6">
      <c r="A6" s="36" t="inlineStr">
        <is>
          <t>Professional</t>
        </is>
      </c>
      <c r="B6" s="8" t="n">
        <v>2500</v>
      </c>
      <c r="C6" t="inlineStr">
        <is>
          <t>24 uur</t>
        </is>
      </c>
      <c r="D6" t="inlineStr">
        <is>
          <t>Email + Telefoon</t>
        </is>
      </c>
      <c r="E6" t="inlineStr">
        <is>
          <t>99.5%</t>
        </is>
      </c>
    </row>
    <row r="7">
      <c r="A7" t="inlineStr">
        <is>
          <t>Enterprise</t>
        </is>
      </c>
      <c r="B7" s="8" t="n">
        <v>5000</v>
      </c>
      <c r="C7" t="inlineStr">
        <is>
          <t>4 uur (24/7)</t>
        </is>
      </c>
      <c r="D7" t="inlineStr">
        <is>
          <t>All + Dedicated</t>
        </is>
      </c>
      <c r="E7" t="inlineStr">
        <is>
          <t>99.9%</t>
        </is>
      </c>
    </row>
    <row r="10">
      <c r="A10" s="4" t="inlineStr">
        <is>
          <t>INCLUSIEF IN ALLE TIERS</t>
        </is>
      </c>
      <c r="B10" s="5" t="n"/>
      <c r="C10" s="5" t="n"/>
      <c r="D10" s="5" t="n"/>
      <c r="E10" s="5" t="n"/>
    </row>
    <row r="11">
      <c r="A11" t="inlineStr">
        <is>
          <t>✅ Security updates &amp; patches</t>
        </is>
      </c>
    </row>
    <row r="12">
      <c r="A12" t="inlineStr">
        <is>
          <t>✅ Browser compatibility updates</t>
        </is>
      </c>
    </row>
    <row r="13">
      <c r="A13" t="inlineStr">
        <is>
          <t>✅ Bug fixes (critical binnen response time)</t>
        </is>
      </c>
    </row>
    <row r="14">
      <c r="A14" t="inlineStr">
        <is>
          <t>✅ Minor feature updates</t>
        </is>
      </c>
    </row>
    <row r="15">
      <c r="A15" t="inlineStr">
        <is>
          <t>✅ Email support</t>
        </is>
      </c>
    </row>
    <row r="16">
      <c r="A16" t="inlineStr">
        <is>
          <t>✅ Quarterly health check</t>
        </is>
      </c>
    </row>
    <row r="17">
      <c r="A17" t="inlineStr">
        <is>
          <t>✅ Documentation updates</t>
        </is>
      </c>
    </row>
    <row r="20">
      <c r="A20" s="4" t="inlineStr">
        <is>
          <t>PROFESSIONAL &amp; ENTERPRISE EXTRA</t>
        </is>
      </c>
      <c r="B20" s="5" t="n"/>
      <c r="C20" s="5" t="n"/>
      <c r="D20" s="5" t="n"/>
      <c r="E20" s="5" t="n"/>
    </row>
    <row r="21">
      <c r="A21" t="inlineStr">
        <is>
          <t>✅ Phone support</t>
        </is>
      </c>
    </row>
    <row r="22">
      <c r="A22" t="inlineStr">
        <is>
          <t>✅ Priority bug fixing</t>
        </is>
      </c>
    </row>
    <row r="23">
      <c r="A23" t="inlineStr">
        <is>
          <t>✅ Feature requests consideration</t>
        </is>
      </c>
    </row>
    <row r="24">
      <c r="A24" t="inlineStr">
        <is>
          <t>✅ Monthly backups (backend)</t>
        </is>
      </c>
    </row>
    <row r="25">
      <c r="A25" t="inlineStr">
        <is>
          <t>✅ Performance monitoring</t>
        </is>
      </c>
    </row>
    <row r="28">
      <c r="A28" s="4" t="inlineStr">
        <is>
          <t>À LA CARTE SERVICES</t>
        </is>
      </c>
      <c r="B28" s="5" t="n"/>
      <c r="C28" s="5" t="n"/>
      <c r="D28" s="5" t="n"/>
      <c r="E28" s="5" t="n"/>
    </row>
    <row r="29">
      <c r="A29" s="7" t="inlineStr">
        <is>
          <t>Service</t>
        </is>
      </c>
      <c r="B29" s="7" t="inlineStr">
        <is>
          <t>Prijs</t>
        </is>
      </c>
      <c r="C29" s="7" t="inlineStr">
        <is>
          <t>Beschrijving</t>
        </is>
      </c>
    </row>
    <row r="30">
      <c r="A30" t="inlineStr">
        <is>
          <t>Training sessie</t>
        </is>
      </c>
      <c r="B30" s="8" t="n">
        <v>500</v>
      </c>
      <c r="C30" t="inlineStr">
        <is>
          <t>Max 10 personen, on-site of online</t>
        </is>
      </c>
    </row>
    <row r="31">
      <c r="A31" t="inlineStr">
        <is>
          <t>Custom development</t>
        </is>
      </c>
      <c r="B31" t="inlineStr">
        <is>
          <t>90-150/uur</t>
        </is>
      </c>
      <c r="C31" t="inlineStr">
        <is>
          <t>Maatwerk features</t>
        </is>
      </c>
    </row>
    <row r="32">
      <c r="A32" t="inlineStr">
        <is>
          <t>Data migratie</t>
        </is>
      </c>
      <c r="B32" t="inlineStr">
        <is>
          <t>1,000-3,000</t>
        </is>
      </c>
      <c r="C32" t="inlineStr">
        <is>
          <t>Van ander systeem</t>
        </is>
      </c>
    </row>
    <row r="33">
      <c r="A33" t="inlineStr">
        <is>
          <t>On-premise deployment</t>
        </is>
      </c>
      <c r="B33" s="8" t="n">
        <v>2500</v>
      </c>
      <c r="C33" t="inlineStr">
        <is>
          <t>Setup eigen server</t>
        </is>
      </c>
    </row>
    <row r="34">
      <c r="A34" t="inlineStr">
        <is>
          <t>Extra integratie</t>
        </is>
      </c>
      <c r="B34" t="inlineStr">
        <is>
          <t>2,500-5,000</t>
        </is>
      </c>
      <c r="C34" t="inlineStr">
        <is>
          <t>Per systeem</t>
        </is>
      </c>
    </row>
    <row r="35">
      <c r="A35" t="inlineStr">
        <is>
          <t>Emergency support</t>
        </is>
      </c>
      <c r="B35" t="inlineStr">
        <is>
          <t>200/uur</t>
        </is>
      </c>
      <c r="C35" t="inlineStr">
        <is>
          <t>Buiten support uren</t>
        </is>
      </c>
    </row>
    <row r="36">
      <c r="A36" t="inlineStr">
        <is>
          <t>Code audit</t>
        </is>
      </c>
      <c r="B36" s="8" t="n">
        <v>1500</v>
      </c>
      <c r="C36" t="inlineStr">
        <is>
          <t>Security &amp; performance review</t>
        </is>
      </c>
    </row>
  </sheetData>
  <mergeCells count="24">
    <mergeCell ref="A24:E24"/>
    <mergeCell ref="A15:E15"/>
    <mergeCell ref="C31:E31"/>
    <mergeCell ref="A11:E11"/>
    <mergeCell ref="A1:E1"/>
    <mergeCell ref="C36:E36"/>
    <mergeCell ref="A16:E16"/>
    <mergeCell ref="A25:E25"/>
    <mergeCell ref="C32:E32"/>
    <mergeCell ref="A3:E3"/>
    <mergeCell ref="A21:E21"/>
    <mergeCell ref="A12:E12"/>
    <mergeCell ref="A23:E23"/>
    <mergeCell ref="A14:E14"/>
    <mergeCell ref="C30:E30"/>
    <mergeCell ref="A22:E22"/>
    <mergeCell ref="A17:E17"/>
    <mergeCell ref="C34:E34"/>
    <mergeCell ref="C33:E33"/>
    <mergeCell ref="A20:E20"/>
    <mergeCell ref="A10:E10"/>
    <mergeCell ref="A28:E28"/>
    <mergeCell ref="A13:E13"/>
    <mergeCell ref="C35:E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8" customWidth="1" min="6" max="6"/>
  </cols>
  <sheetData>
    <row r="1">
      <c r="A1" s="12" t="inlineStr">
        <is>
          <t>LICENTIE MODELLEN VERGELIJKING</t>
        </is>
      </c>
    </row>
    <row r="3">
      <c r="A3" s="37" t="inlineStr">
        <is>
          <t>MODEL A: SaaS SUBSCRIPTION</t>
        </is>
      </c>
    </row>
    <row r="5">
      <c r="A5" s="7" t="inlineStr">
        <is>
          <t>Tier</t>
        </is>
      </c>
      <c r="B5" s="7" t="inlineStr">
        <is>
          <t>Prijs/gebruiker/maand</t>
        </is>
      </c>
      <c r="C5" s="7" t="inlineStr">
        <is>
          <t>Min. Gebruikers</t>
        </is>
      </c>
      <c r="D5" s="7" t="inlineStr">
        <is>
          <t>Target</t>
        </is>
      </c>
    </row>
    <row r="6">
      <c r="A6" t="inlineStr">
        <is>
          <t>Starter</t>
        </is>
      </c>
      <c r="B6" s="8" t="n">
        <v>8</v>
      </c>
      <c r="C6" t="n">
        <v>1</v>
      </c>
      <c r="D6" t="inlineStr">
        <is>
          <t>1-5 gebruikers</t>
        </is>
      </c>
    </row>
    <row r="7">
      <c r="A7" t="inlineStr">
        <is>
          <t>Professional</t>
        </is>
      </c>
      <c r="B7" s="8" t="n">
        <v>15</v>
      </c>
      <c r="C7" t="n">
        <v>5</v>
      </c>
      <c r="D7" t="inlineStr">
        <is>
          <t>6-25 gebruikers</t>
        </is>
      </c>
    </row>
    <row r="8">
      <c r="A8" t="inlineStr">
        <is>
          <t>Enterprise</t>
        </is>
      </c>
      <c r="B8" s="8" t="n">
        <v>25</v>
      </c>
      <c r="C8" t="n">
        <v>10</v>
      </c>
      <c r="D8" t="inlineStr">
        <is>
          <t>25+ gebruikers</t>
        </is>
      </c>
    </row>
    <row r="10">
      <c r="A10" s="11" t="inlineStr">
        <is>
          <t>Voordelen:</t>
        </is>
      </c>
    </row>
    <row r="11">
      <c r="A11" t="inlineStr">
        <is>
          <t>+ Lage entry cost, + Schaalbaar, + Predictable kosten, + Includes updates</t>
        </is>
      </c>
    </row>
    <row r="12">
      <c r="A12" s="38" t="inlineStr">
        <is>
          <t>Nadelen:</t>
        </is>
      </c>
    </row>
    <row r="13">
      <c r="A13" t="inlineStr">
        <is>
          <t>- Ongoing kosten, - Totale TCO hoger op lange termijn</t>
        </is>
      </c>
    </row>
    <row r="16">
      <c r="A16" s="39" t="inlineStr">
        <is>
          <t>MODEL B: ONE-TIME LICENSE (PERPETUAL)</t>
        </is>
      </c>
    </row>
    <row r="18">
      <c r="A18" s="7" t="inlineStr">
        <is>
          <t>Package</t>
        </is>
      </c>
      <c r="B18" s="7" t="inlineStr">
        <is>
          <t>Gebruikers</t>
        </is>
      </c>
      <c r="C18" s="7" t="inlineStr">
        <is>
          <t>Eenmalige Fee</t>
        </is>
      </c>
      <c r="D18" s="7" t="inlineStr">
        <is>
          <t>Jaarlijks Onderhoud</t>
        </is>
      </c>
    </row>
    <row r="19">
      <c r="A19" t="inlineStr">
        <is>
          <t>Basis</t>
        </is>
      </c>
      <c r="B19" t="inlineStr">
        <is>
          <t>1-5</t>
        </is>
      </c>
      <c r="C19" s="8" t="n">
        <v>2500</v>
      </c>
      <c r="D19" s="8" t="n">
        <v>500</v>
      </c>
    </row>
    <row r="20">
      <c r="A20" t="inlineStr">
        <is>
          <t>Standaard</t>
        </is>
      </c>
      <c r="B20" t="inlineStr">
        <is>
          <t>6-15</t>
        </is>
      </c>
      <c r="C20" s="8" t="n">
        <v>5000</v>
      </c>
      <c r="D20" s="8" t="n">
        <v>1000</v>
      </c>
    </row>
    <row r="21">
      <c r="A21" t="inlineStr">
        <is>
          <t>Professional</t>
        </is>
      </c>
      <c r="B21" t="inlineStr">
        <is>
          <t>16-50</t>
        </is>
      </c>
      <c r="C21" s="8" t="n">
        <v>10000</v>
      </c>
      <c r="D21" s="8" t="n">
        <v>2000</v>
      </c>
    </row>
    <row r="22">
      <c r="A22" t="inlineStr">
        <is>
          <t>Enterprise</t>
        </is>
      </c>
      <c r="B22" t="inlineStr">
        <is>
          <t>50+</t>
        </is>
      </c>
      <c r="C22" s="8" t="n">
        <v>15000</v>
      </c>
      <c r="D22" s="8" t="n">
        <v>3000</v>
      </c>
    </row>
    <row r="24">
      <c r="A24" s="11" t="inlineStr">
        <is>
          <t>Voordelen:</t>
        </is>
      </c>
    </row>
    <row r="25">
      <c r="A25" t="inlineStr">
        <is>
          <t>+ Lagere TCO op lange termijn, + Eenmalige investering, + Predictable kosten</t>
        </is>
      </c>
    </row>
    <row r="26">
      <c r="A26" s="38" t="inlineStr">
        <is>
          <t>Nadelen:</t>
        </is>
      </c>
    </row>
    <row r="27">
      <c r="A27" t="inlineStr">
        <is>
          <t>- Hogere upfront cost, - Onderhoud niet verplicht (maar aanbevolen)</t>
        </is>
      </c>
    </row>
    <row r="30">
      <c r="A30" s="30" t="inlineStr">
        <is>
          <t>MODEL C: HYBRID (AANBEVOLEN ⭐)</t>
        </is>
      </c>
    </row>
    <row r="32">
      <c r="A32" s="9" t="inlineStr">
        <is>
          <t>Basis Setup Fee: €4,500 (eenmalig)</t>
        </is>
      </c>
    </row>
    <row r="33">
      <c r="A33" t="inlineStr">
        <is>
          <t>Inclusief: Installatie, configuratie, training (4u), logo setup, data migratie</t>
        </is>
      </c>
    </row>
    <row r="35">
      <c r="A35" s="9" t="inlineStr">
        <is>
          <t>Plus: €6/gebruiker/maand (min. 5 gebruikers)</t>
        </is>
      </c>
    </row>
    <row r="36">
      <c r="A36" t="inlineStr">
        <is>
          <t>Inclusief: Hosting, updates, email support, backups, feature updates</t>
        </is>
      </c>
    </row>
    <row r="38">
      <c r="A38" s="11" t="inlineStr">
        <is>
          <t>Voordelen:</t>
        </is>
      </c>
    </row>
    <row r="39">
      <c r="A39" t="inlineStr">
        <is>
          <t>+ Beste van beide werelden, + Lagere entry cost dan license, + All-inclusive support</t>
        </is>
      </c>
    </row>
    <row r="40">
      <c r="A40" t="inlineStr">
        <is>
          <t>+ Schaalbaar, + Predictable, + Professionele onboarding</t>
        </is>
      </c>
    </row>
    <row r="44">
      <c r="A44" s="4" t="inlineStr">
        <is>
          <t>3-JAAR TCO VERGELIJKING (10 gebruikers)</t>
        </is>
      </c>
      <c r="B44" s="5" t="n"/>
      <c r="C44" s="5" t="n"/>
      <c r="D44" s="5" t="n"/>
      <c r="E44" s="5" t="n"/>
      <c r="F44" s="5" t="n"/>
    </row>
    <row r="45">
      <c r="A45" s="7" t="inlineStr">
        <is>
          <t>Model</t>
        </is>
      </c>
      <c r="B45" s="7" t="inlineStr">
        <is>
          <t>Year 0</t>
        </is>
      </c>
      <c r="C45" s="7" t="inlineStr">
        <is>
          <t>Year 1</t>
        </is>
      </c>
      <c r="D45" s="7" t="inlineStr">
        <is>
          <t>Year 2</t>
        </is>
      </c>
      <c r="E45" s="7" t="inlineStr">
        <is>
          <t>Year 3</t>
        </is>
      </c>
      <c r="F45" s="7" t="inlineStr">
        <is>
          <t>Totaal</t>
        </is>
      </c>
    </row>
    <row r="46">
      <c r="A46" t="inlineStr">
        <is>
          <t>SaaS (Professional)</t>
        </is>
      </c>
      <c r="B46" s="8" t="n">
        <v>0</v>
      </c>
      <c r="C46" s="8" t="n">
        <v>1800</v>
      </c>
      <c r="D46" s="8" t="n">
        <v>1800</v>
      </c>
      <c r="E46" s="8" t="n">
        <v>1800</v>
      </c>
      <c r="F46" s="8">
        <f>B46+C46+D46+E46</f>
        <v/>
      </c>
    </row>
    <row r="47">
      <c r="A47" t="inlineStr">
        <is>
          <t>One-time License</t>
        </is>
      </c>
      <c r="B47" s="8" t="n">
        <v>5000</v>
      </c>
      <c r="C47" s="8" t="n">
        <v>1000</v>
      </c>
      <c r="D47" s="8" t="n">
        <v>1000</v>
      </c>
      <c r="E47" s="8" t="n">
        <v>1000</v>
      </c>
      <c r="F47" s="8">
        <f>B47+C47+D47+E47</f>
        <v/>
      </c>
    </row>
    <row r="48">
      <c r="A48" s="3" t="inlineStr">
        <is>
          <t>Hybrid ⭐</t>
        </is>
      </c>
      <c r="B48" s="17" t="n">
        <v>4500</v>
      </c>
      <c r="C48" s="17" t="n">
        <v>720</v>
      </c>
      <c r="D48" s="17" t="n">
        <v>720</v>
      </c>
      <c r="E48" s="17" t="n">
        <v>720</v>
      </c>
      <c r="F48" s="17">
        <f>B48+C48+D48+E48</f>
        <v/>
      </c>
    </row>
  </sheetData>
  <mergeCells count="20">
    <mergeCell ref="A16:F16"/>
    <mergeCell ref="A27:F27"/>
    <mergeCell ref="A12:F12"/>
    <mergeCell ref="A26:F26"/>
    <mergeCell ref="A3:F3"/>
    <mergeCell ref="A33:F33"/>
    <mergeCell ref="A32:F32"/>
    <mergeCell ref="A35:F35"/>
    <mergeCell ref="A38:F38"/>
    <mergeCell ref="A10:F10"/>
    <mergeCell ref="A13:F13"/>
    <mergeCell ref="A44:F44"/>
    <mergeCell ref="A40:F40"/>
    <mergeCell ref="A30:F30"/>
    <mergeCell ref="A39:F39"/>
    <mergeCell ref="A24:F24"/>
    <mergeCell ref="A11:F11"/>
    <mergeCell ref="A36:F36"/>
    <mergeCell ref="A1:F1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2026-04-15T05:39:07Z</dcterms:created>
  <dcterms:modified xsi:type="dcterms:W3CDTF">2026-04-15T05:39:07Z</dcterms:modified>
</cp:coreProperties>
</file>